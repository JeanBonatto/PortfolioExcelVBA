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jean_bonatto\Desktop\ABERTURA DE CONTAS\"/>
    </mc:Choice>
  </mc:AlternateContent>
  <xr:revisionPtr revIDLastSave="0" documentId="13_ncr:1_{AE9EFD98-75D5-4CDA-895B-59AC11A4D9E4}" xr6:coauthVersionLast="47" xr6:coauthVersionMax="47" xr10:uidLastSave="{00000000-0000-0000-0000-000000000000}"/>
  <bookViews>
    <workbookView xWindow="-120" yWindow="-120" windowWidth="20730" windowHeight="11160" activeTab="4" xr2:uid="{00000000-000D-0000-FFFF-FFFF00000000}"/>
  </bookViews>
  <sheets>
    <sheet name="Aqui Planilha" sheetId="1" r:id="rId1"/>
    <sheet name="FormulaOcult" sheetId="5" state="hidden" r:id="rId2"/>
    <sheet name="NvSalarioMacro" sheetId="2" r:id="rId3"/>
    <sheet name="ListaContas" sheetId="3" r:id="rId4"/>
    <sheet name="FormTransfer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9" i="6" l="1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4" i="2"/>
  <c r="S4" i="2"/>
  <c r="S4" i="5"/>
  <c r="B5" i="2"/>
  <c r="C5" i="2"/>
  <c r="D5" i="2"/>
  <c r="H5" i="2"/>
  <c r="M5" i="2"/>
  <c r="N5" i="2"/>
  <c r="Q5" i="2"/>
  <c r="S5" i="2"/>
  <c r="T5" i="2"/>
  <c r="V5" i="2"/>
  <c r="B6" i="2"/>
  <c r="C6" i="2"/>
  <c r="D6" i="2"/>
  <c r="H6" i="2"/>
  <c r="L6" i="2"/>
  <c r="M6" i="2"/>
  <c r="N6" i="2"/>
  <c r="Q6" i="2"/>
  <c r="S6" i="2"/>
  <c r="T6" i="2"/>
  <c r="V6" i="2"/>
  <c r="B7" i="2"/>
  <c r="C7" i="2"/>
  <c r="D7" i="2"/>
  <c r="H7" i="2"/>
  <c r="L7" i="2"/>
  <c r="M7" i="2"/>
  <c r="N7" i="2"/>
  <c r="Q7" i="2"/>
  <c r="S7" i="2"/>
  <c r="T7" i="2"/>
  <c r="V7" i="2"/>
  <c r="B8" i="2"/>
  <c r="C8" i="2"/>
  <c r="D8" i="2"/>
  <c r="H8" i="2"/>
  <c r="L8" i="2"/>
  <c r="M8" i="2"/>
  <c r="N8" i="2"/>
  <c r="Q8" i="2"/>
  <c r="S8" i="2"/>
  <c r="T8" i="2"/>
  <c r="V8" i="2"/>
  <c r="B9" i="2"/>
  <c r="C9" i="2"/>
  <c r="D9" i="2"/>
  <c r="H9" i="2"/>
  <c r="L9" i="2"/>
  <c r="M9" i="2"/>
  <c r="N9" i="2"/>
  <c r="Q9" i="2"/>
  <c r="S9" i="2"/>
  <c r="T9" i="2"/>
  <c r="V9" i="2"/>
  <c r="B10" i="2"/>
  <c r="C10" i="2"/>
  <c r="D10" i="2"/>
  <c r="H10" i="2"/>
  <c r="L10" i="2"/>
  <c r="M10" i="2"/>
  <c r="N10" i="2"/>
  <c r="Q10" i="2"/>
  <c r="S10" i="2"/>
  <c r="T10" i="2"/>
  <c r="V10" i="2"/>
  <c r="B11" i="2"/>
  <c r="C11" i="2"/>
  <c r="D11" i="2"/>
  <c r="H11" i="2"/>
  <c r="L11" i="2"/>
  <c r="M11" i="2"/>
  <c r="N11" i="2"/>
  <c r="Q11" i="2"/>
  <c r="S11" i="2"/>
  <c r="T11" i="2"/>
  <c r="V11" i="2"/>
  <c r="B12" i="2"/>
  <c r="C12" i="2"/>
  <c r="D12" i="2"/>
  <c r="H12" i="2"/>
  <c r="L12" i="2"/>
  <c r="M12" i="2"/>
  <c r="N12" i="2"/>
  <c r="Q12" i="2"/>
  <c r="S12" i="2"/>
  <c r="T12" i="2"/>
  <c r="V12" i="2"/>
  <c r="B13" i="2"/>
  <c r="C13" i="2"/>
  <c r="D13" i="2"/>
  <c r="H13" i="2"/>
  <c r="L13" i="2"/>
  <c r="M13" i="2"/>
  <c r="N13" i="2"/>
  <c r="Q13" i="2"/>
  <c r="S13" i="2"/>
  <c r="T13" i="2"/>
  <c r="V13" i="2"/>
  <c r="B14" i="2"/>
  <c r="C14" i="2"/>
  <c r="D14" i="2"/>
  <c r="H14" i="2"/>
  <c r="L14" i="2"/>
  <c r="M14" i="2"/>
  <c r="N14" i="2"/>
  <c r="Q14" i="2"/>
  <c r="S14" i="2"/>
  <c r="T14" i="2"/>
  <c r="V14" i="2"/>
  <c r="B15" i="2"/>
  <c r="C15" i="2"/>
  <c r="D15" i="2"/>
  <c r="H15" i="2"/>
  <c r="L15" i="2"/>
  <c r="M15" i="2"/>
  <c r="N15" i="2"/>
  <c r="Q15" i="2"/>
  <c r="S15" i="2"/>
  <c r="T15" i="2"/>
  <c r="V15" i="2"/>
  <c r="B16" i="2"/>
  <c r="C16" i="2"/>
  <c r="D16" i="2"/>
  <c r="H16" i="2"/>
  <c r="L16" i="2"/>
  <c r="M16" i="2"/>
  <c r="N16" i="2"/>
  <c r="Q16" i="2"/>
  <c r="S16" i="2"/>
  <c r="T16" i="2"/>
  <c r="V16" i="2"/>
  <c r="B17" i="2"/>
  <c r="C17" i="2"/>
  <c r="D17" i="2"/>
  <c r="H17" i="2"/>
  <c r="L17" i="2"/>
  <c r="M17" i="2"/>
  <c r="N17" i="2"/>
  <c r="Q17" i="2"/>
  <c r="S17" i="2"/>
  <c r="T17" i="2"/>
  <c r="V17" i="2"/>
  <c r="B18" i="2"/>
  <c r="C18" i="2"/>
  <c r="D18" i="2"/>
  <c r="H18" i="2"/>
  <c r="L18" i="2"/>
  <c r="M18" i="2"/>
  <c r="N18" i="2"/>
  <c r="Q18" i="2"/>
  <c r="S18" i="2"/>
  <c r="T18" i="2"/>
  <c r="V18" i="2"/>
  <c r="B19" i="2"/>
  <c r="C19" i="2"/>
  <c r="D19" i="2"/>
  <c r="H19" i="2"/>
  <c r="L19" i="2"/>
  <c r="M19" i="2"/>
  <c r="N19" i="2"/>
  <c r="Q19" i="2"/>
  <c r="S19" i="2"/>
  <c r="T19" i="2"/>
  <c r="V19" i="2"/>
  <c r="B20" i="2"/>
  <c r="C20" i="2"/>
  <c r="D20" i="2"/>
  <c r="H20" i="2"/>
  <c r="L20" i="2"/>
  <c r="M20" i="2"/>
  <c r="N20" i="2"/>
  <c r="Q20" i="2"/>
  <c r="S20" i="2"/>
  <c r="T20" i="2"/>
  <c r="V20" i="2"/>
  <c r="B21" i="2"/>
  <c r="C21" i="2"/>
  <c r="D21" i="2"/>
  <c r="H21" i="2"/>
  <c r="L21" i="2"/>
  <c r="M21" i="2"/>
  <c r="N21" i="2"/>
  <c r="Q21" i="2"/>
  <c r="S21" i="2"/>
  <c r="T21" i="2"/>
  <c r="V21" i="2"/>
  <c r="B22" i="2"/>
  <c r="C22" i="2"/>
  <c r="D22" i="2"/>
  <c r="H22" i="2"/>
  <c r="L22" i="2"/>
  <c r="M22" i="2"/>
  <c r="N22" i="2"/>
  <c r="Q22" i="2"/>
  <c r="S22" i="2"/>
  <c r="T22" i="2"/>
  <c r="V22" i="2"/>
  <c r="B23" i="2"/>
  <c r="C23" i="2"/>
  <c r="D23" i="2"/>
  <c r="H23" i="2"/>
  <c r="L23" i="2"/>
  <c r="M23" i="2"/>
  <c r="N23" i="2"/>
  <c r="Q23" i="2"/>
  <c r="S23" i="2"/>
  <c r="T23" i="2"/>
  <c r="V23" i="2"/>
  <c r="B24" i="2"/>
  <c r="C24" i="2"/>
  <c r="D24" i="2"/>
  <c r="H24" i="2"/>
  <c r="L24" i="2"/>
  <c r="M24" i="2"/>
  <c r="N24" i="2"/>
  <c r="Q24" i="2"/>
  <c r="S24" i="2"/>
  <c r="T24" i="2"/>
  <c r="V24" i="2"/>
  <c r="B25" i="2"/>
  <c r="C25" i="2"/>
  <c r="D25" i="2"/>
  <c r="H25" i="2"/>
  <c r="L25" i="2"/>
  <c r="M25" i="2"/>
  <c r="N25" i="2"/>
  <c r="Q25" i="2"/>
  <c r="S25" i="2"/>
  <c r="T25" i="2"/>
  <c r="V25" i="2"/>
  <c r="B26" i="2"/>
  <c r="C26" i="2"/>
  <c r="D26" i="2"/>
  <c r="H26" i="2"/>
  <c r="L26" i="2"/>
  <c r="M26" i="2"/>
  <c r="N26" i="2"/>
  <c r="Q26" i="2"/>
  <c r="S26" i="2"/>
  <c r="T26" i="2"/>
  <c r="V26" i="2"/>
  <c r="B27" i="2"/>
  <c r="C27" i="2"/>
  <c r="D27" i="2"/>
  <c r="H27" i="2"/>
  <c r="L27" i="2"/>
  <c r="M27" i="2"/>
  <c r="N27" i="2"/>
  <c r="Q27" i="2"/>
  <c r="S27" i="2"/>
  <c r="T27" i="2"/>
  <c r="V27" i="2"/>
  <c r="B28" i="2"/>
  <c r="C28" i="2"/>
  <c r="D28" i="2"/>
  <c r="H28" i="2"/>
  <c r="L28" i="2"/>
  <c r="M28" i="2"/>
  <c r="N28" i="2"/>
  <c r="Q28" i="2"/>
  <c r="S28" i="2"/>
  <c r="T28" i="2"/>
  <c r="V28" i="2"/>
  <c r="B29" i="2"/>
  <c r="C29" i="2"/>
  <c r="D29" i="2"/>
  <c r="H29" i="2"/>
  <c r="L29" i="2"/>
  <c r="M29" i="2"/>
  <c r="N29" i="2"/>
  <c r="Q29" i="2"/>
  <c r="S29" i="2"/>
  <c r="T29" i="2"/>
  <c r="V29" i="2"/>
  <c r="B30" i="2"/>
  <c r="C30" i="2"/>
  <c r="D30" i="2"/>
  <c r="H30" i="2"/>
  <c r="L30" i="2"/>
  <c r="M30" i="2"/>
  <c r="N30" i="2"/>
  <c r="Q30" i="2"/>
  <c r="S30" i="2"/>
  <c r="T30" i="2"/>
  <c r="V30" i="2"/>
  <c r="B31" i="2"/>
  <c r="C31" i="2"/>
  <c r="D31" i="2"/>
  <c r="H31" i="2"/>
  <c r="L31" i="2"/>
  <c r="M31" i="2"/>
  <c r="N31" i="2"/>
  <c r="Q31" i="2"/>
  <c r="S31" i="2"/>
  <c r="T31" i="2"/>
  <c r="V31" i="2"/>
  <c r="B32" i="2"/>
  <c r="C32" i="2"/>
  <c r="D32" i="2"/>
  <c r="H32" i="2"/>
  <c r="L32" i="2"/>
  <c r="M32" i="2"/>
  <c r="N32" i="2"/>
  <c r="Q32" i="2"/>
  <c r="S32" i="2"/>
  <c r="T32" i="2"/>
  <c r="V32" i="2"/>
  <c r="B33" i="2"/>
  <c r="C33" i="2"/>
  <c r="D33" i="2"/>
  <c r="H33" i="2"/>
  <c r="L33" i="2"/>
  <c r="M33" i="2"/>
  <c r="N33" i="2"/>
  <c r="Q33" i="2"/>
  <c r="S33" i="2"/>
  <c r="T33" i="2"/>
  <c r="V33" i="2"/>
  <c r="B34" i="2"/>
  <c r="C34" i="2"/>
  <c r="D34" i="2"/>
  <c r="H34" i="2"/>
  <c r="L34" i="2"/>
  <c r="M34" i="2"/>
  <c r="N34" i="2"/>
  <c r="Q34" i="2"/>
  <c r="S34" i="2"/>
  <c r="T34" i="2"/>
  <c r="V34" i="2"/>
  <c r="B35" i="2"/>
  <c r="C35" i="2"/>
  <c r="D35" i="2"/>
  <c r="H35" i="2"/>
  <c r="L35" i="2"/>
  <c r="M35" i="2"/>
  <c r="N35" i="2"/>
  <c r="Q35" i="2"/>
  <c r="S35" i="2"/>
  <c r="T35" i="2"/>
  <c r="V35" i="2"/>
  <c r="B36" i="2"/>
  <c r="C36" i="2"/>
  <c r="D36" i="2"/>
  <c r="H36" i="2"/>
  <c r="L36" i="2"/>
  <c r="M36" i="2"/>
  <c r="N36" i="2"/>
  <c r="Q36" i="2"/>
  <c r="S36" i="2"/>
  <c r="T36" i="2"/>
  <c r="V36" i="2"/>
  <c r="B37" i="2"/>
  <c r="C37" i="2"/>
  <c r="D37" i="2"/>
  <c r="H37" i="2"/>
  <c r="L37" i="2"/>
  <c r="M37" i="2"/>
  <c r="N37" i="2"/>
  <c r="Q37" i="2"/>
  <c r="S37" i="2"/>
  <c r="T37" i="2"/>
  <c r="V37" i="2"/>
  <c r="B38" i="2"/>
  <c r="C38" i="2"/>
  <c r="D38" i="2"/>
  <c r="H38" i="2"/>
  <c r="L38" i="2"/>
  <c r="M38" i="2"/>
  <c r="N38" i="2"/>
  <c r="Q38" i="2"/>
  <c r="S38" i="2"/>
  <c r="T38" i="2"/>
  <c r="V38" i="2"/>
  <c r="B39" i="2"/>
  <c r="C39" i="2"/>
  <c r="D39" i="2"/>
  <c r="H39" i="2"/>
  <c r="L39" i="2"/>
  <c r="M39" i="2"/>
  <c r="N39" i="2"/>
  <c r="Q39" i="2"/>
  <c r="S39" i="2"/>
  <c r="T39" i="2"/>
  <c r="V39" i="2"/>
  <c r="B40" i="2"/>
  <c r="C40" i="2"/>
  <c r="D40" i="2"/>
  <c r="H40" i="2"/>
  <c r="L40" i="2"/>
  <c r="M40" i="2"/>
  <c r="N40" i="2"/>
  <c r="Q40" i="2"/>
  <c r="S40" i="2"/>
  <c r="T40" i="2"/>
  <c r="V40" i="2"/>
  <c r="B41" i="2"/>
  <c r="C41" i="2"/>
  <c r="D41" i="2"/>
  <c r="H41" i="2"/>
  <c r="L41" i="2"/>
  <c r="M41" i="2"/>
  <c r="N41" i="2"/>
  <c r="Q41" i="2"/>
  <c r="S41" i="2"/>
  <c r="T41" i="2"/>
  <c r="V41" i="2"/>
  <c r="B42" i="2"/>
  <c r="C42" i="2"/>
  <c r="D42" i="2"/>
  <c r="H42" i="2"/>
  <c r="L42" i="2"/>
  <c r="M42" i="2"/>
  <c r="N42" i="2"/>
  <c r="Q42" i="2"/>
  <c r="S42" i="2"/>
  <c r="T42" i="2"/>
  <c r="V42" i="2"/>
  <c r="B43" i="2"/>
  <c r="C43" i="2"/>
  <c r="D43" i="2"/>
  <c r="H43" i="2"/>
  <c r="L43" i="2"/>
  <c r="M43" i="2"/>
  <c r="N43" i="2"/>
  <c r="Q43" i="2"/>
  <c r="S43" i="2"/>
  <c r="T43" i="2"/>
  <c r="V43" i="2"/>
  <c r="B44" i="2"/>
  <c r="C44" i="2"/>
  <c r="D44" i="2"/>
  <c r="H44" i="2"/>
  <c r="L44" i="2"/>
  <c r="M44" i="2"/>
  <c r="N44" i="2"/>
  <c r="Q44" i="2"/>
  <c r="S44" i="2"/>
  <c r="T44" i="2"/>
  <c r="V44" i="2"/>
  <c r="B45" i="2"/>
  <c r="C45" i="2"/>
  <c r="D45" i="2"/>
  <c r="H45" i="2"/>
  <c r="L45" i="2"/>
  <c r="M45" i="2"/>
  <c r="N45" i="2"/>
  <c r="Q45" i="2"/>
  <c r="S45" i="2"/>
  <c r="T45" i="2"/>
  <c r="V45" i="2"/>
  <c r="B46" i="2"/>
  <c r="C46" i="2"/>
  <c r="D46" i="2"/>
  <c r="H46" i="2"/>
  <c r="L46" i="2"/>
  <c r="M46" i="2"/>
  <c r="N46" i="2"/>
  <c r="Q46" i="2"/>
  <c r="S46" i="2"/>
  <c r="T46" i="2"/>
  <c r="V46" i="2"/>
  <c r="B47" i="2"/>
  <c r="C47" i="2"/>
  <c r="D47" i="2"/>
  <c r="H47" i="2"/>
  <c r="L47" i="2"/>
  <c r="M47" i="2"/>
  <c r="N47" i="2"/>
  <c r="Q47" i="2"/>
  <c r="S47" i="2"/>
  <c r="T47" i="2"/>
  <c r="V47" i="2"/>
  <c r="B48" i="2"/>
  <c r="C48" i="2"/>
  <c r="D48" i="2"/>
  <c r="H48" i="2"/>
  <c r="L48" i="2"/>
  <c r="M48" i="2"/>
  <c r="N48" i="2"/>
  <c r="Q48" i="2"/>
  <c r="S48" i="2"/>
  <c r="T48" i="2"/>
  <c r="V48" i="2"/>
  <c r="B49" i="2"/>
  <c r="C49" i="2"/>
  <c r="D49" i="2"/>
  <c r="H49" i="2"/>
  <c r="L49" i="2"/>
  <c r="M49" i="2"/>
  <c r="N49" i="2"/>
  <c r="Q49" i="2"/>
  <c r="S49" i="2"/>
  <c r="T49" i="2"/>
  <c r="V49" i="2"/>
  <c r="B50" i="2"/>
  <c r="C50" i="2"/>
  <c r="D50" i="2"/>
  <c r="H50" i="2"/>
  <c r="L50" i="2"/>
  <c r="M50" i="2"/>
  <c r="N50" i="2"/>
  <c r="Q50" i="2"/>
  <c r="S50" i="2"/>
  <c r="T50" i="2"/>
  <c r="V50" i="2"/>
  <c r="Q4" i="2"/>
  <c r="M4" i="2"/>
  <c r="H4" i="2"/>
  <c r="C4" i="2"/>
  <c r="B4" i="2"/>
  <c r="N4" i="2"/>
  <c r="A2" i="2"/>
  <c r="C3" i="3" s="1"/>
  <c r="D3" i="3"/>
  <c r="S5" i="5"/>
  <c r="S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L5" i="5"/>
  <c r="L5" i="2" s="1"/>
  <c r="T5" i="5"/>
  <c r="U5" i="5"/>
  <c r="V5" i="5"/>
  <c r="W5" i="5"/>
  <c r="L6" i="5"/>
  <c r="T6" i="5"/>
  <c r="U6" i="5"/>
  <c r="V6" i="5"/>
  <c r="W6" i="5"/>
  <c r="L7" i="5"/>
  <c r="T7" i="5"/>
  <c r="U7" i="5"/>
  <c r="V7" i="5"/>
  <c r="W7" i="5"/>
  <c r="L8" i="5"/>
  <c r="T8" i="5"/>
  <c r="U8" i="5"/>
  <c r="V8" i="5"/>
  <c r="W8" i="5"/>
  <c r="L9" i="5"/>
  <c r="T9" i="5"/>
  <c r="U9" i="5"/>
  <c r="V9" i="5"/>
  <c r="W9" i="5"/>
  <c r="L10" i="5"/>
  <c r="T10" i="5"/>
  <c r="U10" i="5"/>
  <c r="V10" i="5"/>
  <c r="W10" i="5"/>
  <c r="L11" i="5"/>
  <c r="T11" i="5"/>
  <c r="U11" i="5"/>
  <c r="V11" i="5"/>
  <c r="W11" i="5"/>
  <c r="L12" i="5"/>
  <c r="T12" i="5"/>
  <c r="U12" i="5"/>
  <c r="V12" i="5"/>
  <c r="W12" i="5"/>
  <c r="L13" i="5"/>
  <c r="T13" i="5"/>
  <c r="U13" i="5"/>
  <c r="V13" i="5"/>
  <c r="W13" i="5"/>
  <c r="L14" i="5"/>
  <c r="T14" i="5"/>
  <c r="U14" i="5"/>
  <c r="V14" i="5"/>
  <c r="W14" i="5"/>
  <c r="L15" i="5"/>
  <c r="T15" i="5"/>
  <c r="U15" i="5"/>
  <c r="V15" i="5"/>
  <c r="W15" i="5"/>
  <c r="L16" i="5"/>
  <c r="T16" i="5"/>
  <c r="U16" i="5"/>
  <c r="V16" i="5"/>
  <c r="W16" i="5"/>
  <c r="L17" i="5"/>
  <c r="T17" i="5"/>
  <c r="U17" i="5"/>
  <c r="V17" i="5"/>
  <c r="W17" i="5"/>
  <c r="L18" i="5"/>
  <c r="T18" i="5"/>
  <c r="U18" i="5"/>
  <c r="V18" i="5"/>
  <c r="W18" i="5"/>
  <c r="L19" i="5"/>
  <c r="T19" i="5"/>
  <c r="U19" i="5"/>
  <c r="V19" i="5"/>
  <c r="W19" i="5"/>
  <c r="L20" i="5"/>
  <c r="T20" i="5"/>
  <c r="U20" i="5"/>
  <c r="V20" i="5"/>
  <c r="W20" i="5"/>
  <c r="L21" i="5"/>
  <c r="T21" i="5"/>
  <c r="U21" i="5"/>
  <c r="V21" i="5"/>
  <c r="W21" i="5"/>
  <c r="L22" i="5"/>
  <c r="T22" i="5"/>
  <c r="U22" i="5"/>
  <c r="V22" i="5"/>
  <c r="W22" i="5"/>
  <c r="L23" i="5"/>
  <c r="T23" i="5"/>
  <c r="U23" i="5"/>
  <c r="V23" i="5"/>
  <c r="W23" i="5"/>
  <c r="L24" i="5"/>
  <c r="T24" i="5"/>
  <c r="U24" i="5"/>
  <c r="V24" i="5"/>
  <c r="W24" i="5"/>
  <c r="L25" i="5"/>
  <c r="T25" i="5"/>
  <c r="U25" i="5"/>
  <c r="V25" i="5"/>
  <c r="W25" i="5"/>
  <c r="L26" i="5"/>
  <c r="T26" i="5"/>
  <c r="U26" i="5"/>
  <c r="V26" i="5"/>
  <c r="W26" i="5"/>
  <c r="L27" i="5"/>
  <c r="T27" i="5"/>
  <c r="U27" i="5"/>
  <c r="V27" i="5"/>
  <c r="W27" i="5"/>
  <c r="L28" i="5"/>
  <c r="T28" i="5"/>
  <c r="U28" i="5"/>
  <c r="V28" i="5"/>
  <c r="W28" i="5"/>
  <c r="L29" i="5"/>
  <c r="T29" i="5"/>
  <c r="U29" i="5"/>
  <c r="V29" i="5"/>
  <c r="W29" i="5"/>
  <c r="L30" i="5"/>
  <c r="T30" i="5"/>
  <c r="U30" i="5"/>
  <c r="V30" i="5"/>
  <c r="W30" i="5"/>
  <c r="L31" i="5"/>
  <c r="T31" i="5"/>
  <c r="U31" i="5"/>
  <c r="V31" i="5"/>
  <c r="W31" i="5"/>
  <c r="L32" i="5"/>
  <c r="T32" i="5"/>
  <c r="U32" i="5"/>
  <c r="V32" i="5"/>
  <c r="W32" i="5"/>
  <c r="L33" i="5"/>
  <c r="T33" i="5"/>
  <c r="U33" i="5"/>
  <c r="V33" i="5"/>
  <c r="W33" i="5"/>
  <c r="L34" i="5"/>
  <c r="T34" i="5"/>
  <c r="U34" i="5"/>
  <c r="V34" i="5"/>
  <c r="W34" i="5"/>
  <c r="L35" i="5"/>
  <c r="T35" i="5"/>
  <c r="U35" i="5"/>
  <c r="V35" i="5"/>
  <c r="W35" i="5"/>
  <c r="L36" i="5"/>
  <c r="T36" i="5"/>
  <c r="U36" i="5"/>
  <c r="V36" i="5"/>
  <c r="W36" i="5"/>
  <c r="L37" i="5"/>
  <c r="T37" i="5"/>
  <c r="U37" i="5"/>
  <c r="V37" i="5"/>
  <c r="W37" i="5"/>
  <c r="L38" i="5"/>
  <c r="T38" i="5"/>
  <c r="U38" i="5"/>
  <c r="V38" i="5"/>
  <c r="W38" i="5"/>
  <c r="L39" i="5"/>
  <c r="T39" i="5"/>
  <c r="U39" i="5"/>
  <c r="V39" i="5"/>
  <c r="W39" i="5"/>
  <c r="L40" i="5"/>
  <c r="T40" i="5"/>
  <c r="U40" i="5"/>
  <c r="V40" i="5"/>
  <c r="W40" i="5"/>
  <c r="L41" i="5"/>
  <c r="T41" i="5"/>
  <c r="U41" i="5"/>
  <c r="V41" i="5"/>
  <c r="W41" i="5"/>
  <c r="L42" i="5"/>
  <c r="T42" i="5"/>
  <c r="U42" i="5"/>
  <c r="V42" i="5"/>
  <c r="W42" i="5"/>
  <c r="L43" i="5"/>
  <c r="T43" i="5"/>
  <c r="U43" i="5"/>
  <c r="V43" i="5"/>
  <c r="W43" i="5"/>
  <c r="L44" i="5"/>
  <c r="T44" i="5"/>
  <c r="U44" i="5"/>
  <c r="V44" i="5"/>
  <c r="W44" i="5"/>
  <c r="L45" i="5"/>
  <c r="T45" i="5"/>
  <c r="U45" i="5"/>
  <c r="V45" i="5"/>
  <c r="W45" i="5"/>
  <c r="L46" i="5"/>
  <c r="T46" i="5"/>
  <c r="U46" i="5"/>
  <c r="V46" i="5"/>
  <c r="W46" i="5"/>
  <c r="L47" i="5"/>
  <c r="T47" i="5"/>
  <c r="U47" i="5"/>
  <c r="V47" i="5"/>
  <c r="W47" i="5"/>
  <c r="L48" i="5"/>
  <c r="T48" i="5"/>
  <c r="U48" i="5"/>
  <c r="V48" i="5"/>
  <c r="W48" i="5"/>
  <c r="L49" i="5"/>
  <c r="T49" i="5"/>
  <c r="U49" i="5"/>
  <c r="V49" i="5"/>
  <c r="W49" i="5"/>
  <c r="L50" i="5"/>
  <c r="S50" i="5"/>
  <c r="T50" i="5"/>
  <c r="U50" i="5"/>
  <c r="V50" i="5"/>
  <c r="W50" i="5"/>
  <c r="L4" i="5"/>
  <c r="L4" i="2" s="1"/>
  <c r="T4" i="2"/>
  <c r="V4" i="2"/>
  <c r="R42" i="5"/>
  <c r="R36" i="5"/>
  <c r="R50" i="5"/>
  <c r="R39" i="5"/>
  <c r="R44" i="5"/>
  <c r="R40" i="5"/>
  <c r="R48" i="5"/>
  <c r="R35" i="5"/>
  <c r="R37" i="5"/>
  <c r="R43" i="5"/>
  <c r="R41" i="5"/>
  <c r="R45" i="5"/>
  <c r="R49" i="5"/>
  <c r="R47" i="5"/>
  <c r="R38" i="5"/>
  <c r="R34" i="5"/>
  <c r="R46" i="5"/>
  <c r="R19" i="5"/>
  <c r="R10" i="5"/>
  <c r="R13" i="5"/>
  <c r="R32" i="5"/>
  <c r="R31" i="5"/>
  <c r="R15" i="5"/>
  <c r="R27" i="5"/>
  <c r="R30" i="5"/>
  <c r="R21" i="5"/>
  <c r="R17" i="5"/>
  <c r="R25" i="5"/>
  <c r="R20" i="5"/>
  <c r="R28" i="5"/>
  <c r="R14" i="5"/>
  <c r="R26" i="5"/>
  <c r="R24" i="5"/>
  <c r="R11" i="5"/>
  <c r="R29" i="5"/>
  <c r="R18" i="5"/>
  <c r="R12" i="5"/>
  <c r="R23" i="5"/>
  <c r="R33" i="5"/>
  <c r="R22" i="5"/>
  <c r="R16" i="5"/>
  <c r="R9" i="5"/>
  <c r="R8" i="5"/>
  <c r="R6" i="5"/>
  <c r="R7" i="5"/>
  <c r="A6" i="2" a="1"/>
  <c r="A7" i="2" a="1"/>
  <c r="A8" i="2" a="1"/>
  <c r="A9" i="2" a="1"/>
  <c r="A10" i="2" a="1"/>
  <c r="A11" i="2" a="1"/>
  <c r="A12" i="2" a="1"/>
  <c r="A13" i="2" a="1"/>
  <c r="A14" i="2" a="1"/>
  <c r="A15" i="2" a="1"/>
  <c r="A16" i="2" a="1"/>
  <c r="A17" i="2" a="1"/>
  <c r="A18" i="2" a="1"/>
  <c r="A19" i="2" a="1"/>
  <c r="A20" i="2" a="1"/>
  <c r="A21" i="2" a="1"/>
  <c r="A22" i="2" a="1"/>
  <c r="A23" i="2" a="1"/>
  <c r="A24" i="2" a="1"/>
  <c r="A25" i="2" a="1"/>
  <c r="A26" i="2" a="1"/>
  <c r="A27" i="2" a="1"/>
  <c r="A28" i="2" a="1"/>
  <c r="A29" i="2" a="1"/>
  <c r="A30" i="2" a="1"/>
  <c r="A31" i="2" a="1"/>
  <c r="A32" i="2" a="1"/>
  <c r="A33" i="2" a="1"/>
  <c r="A34" i="2" a="1"/>
  <c r="A35" i="2" a="1"/>
  <c r="A36" i="2" a="1"/>
  <c r="A37" i="2" a="1"/>
  <c r="A38" i="2" a="1"/>
  <c r="A39" i="2" a="1"/>
  <c r="A40" i="2" a="1"/>
  <c r="A41" i="2" a="1"/>
  <c r="A42" i="2" a="1"/>
  <c r="A43" i="2" a="1"/>
  <c r="A44" i="2" a="1"/>
  <c r="A45" i="2" a="1"/>
  <c r="A46" i="2" a="1"/>
  <c r="A47" i="2" a="1"/>
  <c r="A48" i="2" a="1"/>
  <c r="A49" i="2" a="1"/>
  <c r="A50" i="2" a="1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I33" i="2"/>
  <c r="I36" i="2"/>
  <c r="I40" i="2"/>
  <c r="I46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I35" i="2"/>
  <c r="I38" i="2"/>
  <c r="I41" i="2"/>
  <c r="I42" i="2"/>
  <c r="I47" i="2"/>
  <c r="I48" i="2"/>
  <c r="I49" i="2"/>
  <c r="I50" i="2"/>
  <c r="K40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K43" i="2"/>
  <c r="F6" i="2"/>
  <c r="R6" i="2"/>
  <c r="F7" i="2"/>
  <c r="R7" i="2"/>
  <c r="F8" i="2"/>
  <c r="R8" i="2"/>
  <c r="F9" i="2"/>
  <c r="R9" i="2"/>
  <c r="F10" i="2"/>
  <c r="R10" i="2"/>
  <c r="F11" i="2"/>
  <c r="R11" i="2"/>
  <c r="F12" i="2"/>
  <c r="R12" i="2"/>
  <c r="F13" i="2"/>
  <c r="F14" i="2"/>
  <c r="R14" i="2"/>
  <c r="F15" i="2"/>
  <c r="R15" i="2"/>
  <c r="F16" i="2"/>
  <c r="R16" i="2"/>
  <c r="F17" i="2"/>
  <c r="R17" i="2"/>
  <c r="F18" i="2"/>
  <c r="R18" i="2"/>
  <c r="F19" i="2"/>
  <c r="R19" i="2"/>
  <c r="F20" i="2"/>
  <c r="R20" i="2"/>
  <c r="F21" i="2"/>
  <c r="R21" i="2"/>
  <c r="F22" i="2"/>
  <c r="R22" i="2"/>
  <c r="F23" i="2"/>
  <c r="R23" i="2"/>
  <c r="F24" i="2"/>
  <c r="R24" i="2"/>
  <c r="F25" i="2"/>
  <c r="R25" i="2"/>
  <c r="F26" i="2"/>
  <c r="R26" i="2"/>
  <c r="F27" i="2"/>
  <c r="R27" i="2"/>
  <c r="F28" i="2"/>
  <c r="R28" i="2"/>
  <c r="F29" i="2"/>
  <c r="R29" i="2"/>
  <c r="F30" i="2"/>
  <c r="R30" i="2"/>
  <c r="F31" i="2"/>
  <c r="R31" i="2"/>
  <c r="F32" i="2"/>
  <c r="R32" i="2"/>
  <c r="F33" i="2"/>
  <c r="R33" i="2"/>
  <c r="F34" i="2"/>
  <c r="R34" i="2"/>
  <c r="F35" i="2"/>
  <c r="R35" i="2"/>
  <c r="F36" i="2"/>
  <c r="R36" i="2"/>
  <c r="F37" i="2"/>
  <c r="R37" i="2"/>
  <c r="F38" i="2"/>
  <c r="R38" i="2"/>
  <c r="F39" i="2"/>
  <c r="R39" i="2"/>
  <c r="F40" i="2"/>
  <c r="R40" i="2"/>
  <c r="F41" i="2"/>
  <c r="R41" i="2"/>
  <c r="F42" i="2"/>
  <c r="R42" i="2"/>
  <c r="F43" i="2"/>
  <c r="R43" i="2"/>
  <c r="F44" i="2"/>
  <c r="R44" i="2"/>
  <c r="F45" i="2"/>
  <c r="R45" i="2"/>
  <c r="F46" i="2"/>
  <c r="R46" i="2"/>
  <c r="F47" i="2"/>
  <c r="R47" i="2"/>
  <c r="F48" i="2"/>
  <c r="R48" i="2"/>
  <c r="F49" i="2"/>
  <c r="R49" i="2"/>
  <c r="F50" i="2"/>
  <c r="R50" i="2"/>
  <c r="I31" i="2"/>
  <c r="I43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I29" i="2"/>
  <c r="I32" i="2"/>
  <c r="I34" i="2"/>
  <c r="I37" i="2"/>
  <c r="I39" i="2"/>
  <c r="I44" i="2"/>
  <c r="I45" i="2"/>
  <c r="K42" i="2"/>
  <c r="I30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1" i="2"/>
  <c r="K44" i="2"/>
  <c r="K45" i="2"/>
  <c r="K46" i="2"/>
  <c r="K47" i="2"/>
  <c r="K48" i="2"/>
  <c r="K49" i="2"/>
  <c r="K50" i="2"/>
  <c r="R13" i="2"/>
  <c r="K5" i="2"/>
  <c r="I5" i="2"/>
  <c r="A5" i="2" a="1"/>
  <c r="G5" i="2"/>
  <c r="F5" i="2"/>
  <c r="E5" i="2"/>
  <c r="R5" i="2"/>
  <c r="R5" i="5"/>
  <c r="P5" i="2"/>
  <c r="J5" i="2"/>
  <c r="O5" i="2"/>
  <c r="R4" i="2"/>
  <c r="A4" i="2" a="1"/>
  <c r="O4" i="2"/>
  <c r="I4" i="2"/>
  <c r="K4" i="2"/>
  <c r="P4" i="2"/>
  <c r="E4" i="2"/>
  <c r="A50" i="2" l="1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J4" i="2"/>
  <c r="D4" i="2" l="1"/>
  <c r="G4" i="2"/>
  <c r="F4" i="2"/>
  <c r="C2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<sst xmlns="http://schemas.openxmlformats.org/spreadsheetml/2006/main" count="139" uniqueCount="79">
  <si>
    <t>COD_CONVENIO</t>
  </si>
  <si>
    <t>COOPERATIVA</t>
  </si>
  <si>
    <t>QUANTIDADE</t>
  </si>
  <si>
    <t>NOME TITULAR</t>
  </si>
  <si>
    <t>DAT_NASCIMENTO</t>
  </si>
  <si>
    <t>SEXO</t>
  </si>
  <si>
    <t>NUM_CEP</t>
  </si>
  <si>
    <t>NOME_BAIRRO</t>
  </si>
  <si>
    <t>TP_LOGRADOURO</t>
  </si>
  <si>
    <t>LOGRADOURO</t>
  </si>
  <si>
    <t xml:space="preserve">NUMERO </t>
  </si>
  <si>
    <t>COMPLEMENTO</t>
  </si>
  <si>
    <t>MUNICIPIO</t>
  </si>
  <si>
    <t>UF ENDERECO</t>
  </si>
  <si>
    <t>NUM_CPF</t>
  </si>
  <si>
    <t>IDENTIDADE</t>
  </si>
  <si>
    <t>DAT_EMISSAO</t>
  </si>
  <si>
    <t>ORG EXPEDIDOR</t>
  </si>
  <si>
    <t>UF IDENTIDADE</t>
  </si>
  <si>
    <t>UA</t>
  </si>
  <si>
    <t>NOM_REPRESENTANTE</t>
  </si>
  <si>
    <t>CPF_REPRESENTANTE</t>
  </si>
  <si>
    <t>COD_BANCO_DEST</t>
  </si>
  <si>
    <t>NUM_AGENCIA_DEST</t>
  </si>
  <si>
    <t>NUM_CONTA_DEST</t>
  </si>
  <si>
    <t>Tipo de Conta</t>
  </si>
  <si>
    <t>CONTAS</t>
  </si>
  <si>
    <t>Nº da Conta</t>
  </si>
  <si>
    <t>Nome do Titular</t>
  </si>
  <si>
    <t>0313</t>
  </si>
  <si>
    <t>Não precisa preencher</t>
  </si>
  <si>
    <t>Convênio:</t>
  </si>
  <si>
    <t>INSTRUÇÃO PERMANENTE</t>
  </si>
  <si>
    <t>Transferências da conta de registro e controle de pagamentos</t>
  </si>
  <si>
    <t>Solicito à COOPERATIVA DE CRÉDITO, POUPANCA E INVESTIMENTO RAÍZES - SICREDI RAÍZES, em caráter de instrução permanente, que os valores creditados em minha conta de registro e controle de pagamentos sejam automaticamente transferidos para conta de depósito à vista de minha titularidade, abaixo especificada:</t>
  </si>
  <si>
    <t xml:space="preserve">Conta..............: </t>
  </si>
  <si>
    <t xml:space="preserve">Tipo de Conta......: </t>
  </si>
  <si>
    <t>Estou ciente de que as transferências acima somente serão suspensas a partir do mês de referência imediatamente posterior ao meu pedido escrito, desde que entregue com, no mínimo, cinco dias úteis de antecedência à data da efetivação dos créditos, voltando os recursos a ser mantidos na conta de registro e controle de pagamentos.</t>
  </si>
  <si>
    <t>______________________________</t>
  </si>
  <si>
    <t>748</t>
  </si>
  <si>
    <t>1</t>
  </si>
  <si>
    <t>IVAN FRANÇA</t>
  </si>
  <si>
    <t>M</t>
  </si>
  <si>
    <t>INTERIOR</t>
  </si>
  <si>
    <t>LINHA</t>
  </si>
  <si>
    <t>TRES ROSAS</t>
  </si>
  <si>
    <t>SN</t>
  </si>
  <si>
    <t>CUNHATAI</t>
  </si>
  <si>
    <t>SC</t>
  </si>
  <si>
    <t>10233977902</t>
  </si>
  <si>
    <t>6095687</t>
  </si>
  <si>
    <t>SSP</t>
  </si>
  <si>
    <t>0230</t>
  </si>
  <si>
    <t>000740581</t>
  </si>
  <si>
    <t>ELISANDRO LOPES</t>
  </si>
  <si>
    <t>98410-000</t>
  </si>
  <si>
    <t>BARRA DO FORTALEZA</t>
  </si>
  <si>
    <t>TAQUARUÇU DO SUL</t>
  </si>
  <si>
    <t>RS</t>
  </si>
  <si>
    <t>00550087044</t>
  </si>
  <si>
    <t>4087596062</t>
  </si>
  <si>
    <t>SJS</t>
  </si>
  <si>
    <t>041</t>
  </si>
  <si>
    <t>0630</t>
  </si>
  <si>
    <t>3906970201</t>
  </si>
  <si>
    <t>43bl</t>
  </si>
  <si>
    <t>2</t>
  </si>
  <si>
    <t>IVAN FRANCA</t>
  </si>
  <si>
    <t>66314-7</t>
  </si>
  <si>
    <t>66315-5</t>
  </si>
  <si>
    <t xml:space="preserve">Banco..............: </t>
  </si>
  <si>
    <t xml:space="preserve">Cooperativa/Agência: </t>
  </si>
  <si>
    <t>74058-1</t>
  </si>
  <si>
    <t>CAMPO NOVO, RS</t>
  </si>
  <si>
    <t>Nome: IVAN FRANCA</t>
  </si>
  <si>
    <t>CPF : 10233977902</t>
  </si>
  <si>
    <t>Empresa</t>
  </si>
  <si>
    <t>Fluid</t>
  </si>
  <si>
    <t>Corrente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</si>
</sst>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0000"/>
    <numFmt numFmtId="165" formatCode="00"/>
    <numFmt numFmtId="166" formatCode="00000"/>
    <numFmt numFmtId="167" formatCode="00000000000"/>
    <numFmt numFmtId="168" formatCode="_-[$R$-416]\ * #,##0.00_-;\-[$R$-416]\ * #,##0.00_-;_-[$R$-416]\ * &quot;-&quot;??_-;_-@_-"/>
  </numFmts>
  <fonts count="22">
    <font>
      <sz val="12"/>
      <color theme="1"/>
      <name val="Times New Roman"/>
      <family val="2"/>
    </font>
    <font>
      <b/>
      <sz val="12"/>
      <color theme="1"/>
      <name val="Times New Roman"/>
      <family val="1"/>
    </font>
    <font>
      <sz val="14"/>
      <color theme="1"/>
      <name val="Times New Roman"/>
      <family val="2"/>
    </font>
    <font>
      <sz val="12"/>
      <color theme="1"/>
      <name val="Times New Roman"/>
      <family val="2"/>
    </font>
    <font>
      <u/>
      <sz val="12"/>
      <color theme="10"/>
      <name val="Times New Roman"/>
      <family val="2"/>
    </font>
    <font>
      <b/>
      <u/>
      <sz val="18"/>
      <color theme="1"/>
      <name val="Times New Roman"/>
      <family val="1"/>
    </font>
    <font>
      <b/>
      <u/>
      <sz val="12"/>
      <color theme="1"/>
      <name val="Times New Roman"/>
      <family val="1"/>
    </font>
    <font>
      <i/>
      <u/>
      <sz val="12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Verdana"/>
      <family val="2"/>
    </font>
    <font>
      <sz val="8"/>
      <name val="Times New Roman"/>
      <family val="2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u/>
      <sz val="11"/>
      <color theme="10"/>
      <name val="Times New Roman"/>
      <family val="1"/>
    </font>
    <font>
      <sz val="14"/>
      <color theme="1"/>
      <name val="Times New Roman"/>
      <family val="1"/>
    </font>
    <font>
      <b/>
      <sz val="14"/>
      <color rgb="FFFF0000"/>
      <name val="Times New Roman"/>
      <family val="1"/>
    </font>
    <font>
      <b/>
      <sz val="12"/>
      <color rgb="FFFF0000"/>
      <name val="Times New Roman"/>
      <family val="1"/>
    </font>
    <font>
      <b/>
      <sz val="10"/>
      <color theme="1"/>
      <name val="Calibri"/>
      <family val="2"/>
      <scheme val="minor"/>
    </font>
    <font>
      <b/>
      <sz val="12"/>
      <color theme="1"/>
      <name val="Courier-Bold"/>
    </font>
    <font>
      <sz val="12"/>
      <color theme="1"/>
      <name val="Courie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9" fillId="0" borderId="0"/>
  </cellStyleXfs>
  <cellXfs count="96">
    <xf numFmtId="0" fontId="0" fillId="0" borderId="0" xfId="0"/>
    <xf numFmtId="0" fontId="2" fillId="0" borderId="0" xfId="0" applyFont="1"/>
    <xf numFmtId="0" fontId="0" fillId="5" borderId="0" xfId="0" applyFill="1"/>
    <xf numFmtId="165" fontId="0" fillId="5" borderId="0" xfId="0" applyNumberFormat="1" applyFill="1" applyAlignment="1">
      <alignment horizontal="center"/>
    </xf>
    <xf numFmtId="14" fontId="0" fillId="5" borderId="0" xfId="0" applyNumberFormat="1" applyFill="1" applyAlignment="1">
      <alignment horizontal="center"/>
    </xf>
    <xf numFmtId="166" fontId="0" fillId="5" borderId="0" xfId="0" applyNumberFormat="1" applyFill="1" applyAlignment="1">
      <alignment horizontal="center"/>
    </xf>
    <xf numFmtId="165" fontId="0" fillId="5" borderId="0" xfId="0" applyNumberFormat="1" applyFont="1" applyFill="1" applyAlignment="1">
      <alignment horizontal="center"/>
    </xf>
    <xf numFmtId="167" fontId="0" fillId="5" borderId="0" xfId="0" applyNumberFormat="1" applyFill="1" applyAlignment="1">
      <alignment horizontal="center"/>
    </xf>
    <xf numFmtId="165" fontId="0" fillId="5" borderId="0" xfId="0" applyNumberFormat="1" applyFill="1"/>
    <xf numFmtId="0" fontId="0" fillId="5" borderId="0" xfId="0" applyFill="1" applyAlignment="1">
      <alignment horizontal="center"/>
    </xf>
    <xf numFmtId="167" fontId="0" fillId="5" borderId="0" xfId="1" applyNumberFormat="1" applyFont="1" applyFill="1" applyAlignment="1">
      <alignment horizontal="center"/>
    </xf>
    <xf numFmtId="14" fontId="0" fillId="5" borderId="0" xfId="0" applyNumberFormat="1" applyFill="1"/>
    <xf numFmtId="0" fontId="0" fillId="0" borderId="0" xfId="0" applyFill="1"/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/>
    </xf>
    <xf numFmtId="165" fontId="0" fillId="0" borderId="0" xfId="0" applyNumberFormat="1" applyFill="1" applyAlignment="1">
      <alignment horizontal="center"/>
    </xf>
    <xf numFmtId="14" fontId="0" fillId="0" borderId="0" xfId="0" applyNumberFormat="1" applyFill="1" applyAlignment="1">
      <alignment horizontal="center"/>
    </xf>
    <xf numFmtId="166" fontId="0" fillId="0" borderId="0" xfId="0" applyNumberFormat="1" applyFill="1" applyAlignment="1">
      <alignment horizontal="center"/>
    </xf>
    <xf numFmtId="165" fontId="0" fillId="0" borderId="0" xfId="0" applyNumberFormat="1" applyFont="1" applyFill="1" applyAlignment="1">
      <alignment horizontal="center"/>
    </xf>
    <xf numFmtId="167" fontId="0" fillId="0" borderId="0" xfId="1" applyNumberFormat="1" applyFont="1" applyFill="1" applyAlignment="1">
      <alignment horizontal="center"/>
    </xf>
    <xf numFmtId="14" fontId="0" fillId="0" borderId="0" xfId="0" applyNumberFormat="1" applyFill="1"/>
    <xf numFmtId="165" fontId="0" fillId="0" borderId="0" xfId="0" applyNumberFormat="1" applyFill="1"/>
    <xf numFmtId="167" fontId="0" fillId="0" borderId="0" xfId="0" applyNumberFormat="1" applyFill="1" applyAlignment="1">
      <alignment horizontal="center"/>
    </xf>
    <xf numFmtId="49" fontId="0" fillId="0" borderId="0" xfId="0" applyNumberFormat="1" applyBorder="1" applyAlignment="1">
      <alignment horizontal="center"/>
    </xf>
    <xf numFmtId="49" fontId="1" fillId="0" borderId="0" xfId="0" applyNumberFormat="1" applyFont="1" applyBorder="1" applyAlignment="1">
      <alignment horizontal="center"/>
    </xf>
    <xf numFmtId="49" fontId="0" fillId="0" borderId="0" xfId="0" applyNumberFormat="1" applyBorder="1" applyAlignment="1">
      <alignment horizontal="left"/>
    </xf>
    <xf numFmtId="49" fontId="1" fillId="0" borderId="0" xfId="0" applyNumberFormat="1" applyFont="1" applyBorder="1" applyAlignment="1">
      <alignment horizontal="left"/>
    </xf>
    <xf numFmtId="14" fontId="6" fillId="0" borderId="2" xfId="0" applyNumberFormat="1" applyFont="1" applyBorder="1" applyAlignment="1">
      <alignment horizontal="right" vertical="center"/>
    </xf>
    <xf numFmtId="0" fontId="2" fillId="3" borderId="11" xfId="0" applyFont="1" applyFill="1" applyBorder="1"/>
    <xf numFmtId="0" fontId="2" fillId="2" borderId="11" xfId="0" applyFont="1" applyFill="1" applyBorder="1"/>
    <xf numFmtId="0" fontId="2" fillId="2" borderId="14" xfId="0" applyFont="1" applyFill="1" applyBorder="1"/>
    <xf numFmtId="0" fontId="1" fillId="0" borderId="9" xfId="0" applyFont="1" applyBorder="1" applyAlignment="1">
      <alignment horizontal="left" vertical="center"/>
    </xf>
    <xf numFmtId="0" fontId="1" fillId="0" borderId="1" xfId="0" applyFont="1" applyBorder="1" applyAlignment="1">
      <alignment horizontal="right" vertical="center"/>
    </xf>
    <xf numFmtId="0" fontId="8" fillId="4" borderId="2" xfId="0" applyFont="1" applyFill="1" applyBorder="1"/>
    <xf numFmtId="14" fontId="0" fillId="0" borderId="0" xfId="0" applyNumberFormat="1" applyBorder="1" applyAlignment="1">
      <alignment horizontal="center"/>
    </xf>
    <xf numFmtId="14" fontId="1" fillId="0" borderId="0" xfId="0" applyNumberFormat="1" applyFont="1" applyBorder="1" applyAlignment="1">
      <alignment horizontal="center"/>
    </xf>
    <xf numFmtId="0" fontId="10" fillId="0" borderId="0" xfId="3" applyFont="1" applyBorder="1" applyProtection="1">
      <protection locked="0"/>
    </xf>
    <xf numFmtId="0" fontId="9" fillId="0" borderId="0" xfId="3" applyBorder="1"/>
    <xf numFmtId="49" fontId="11" fillId="0" borderId="0" xfId="3" applyNumberFormat="1" applyFont="1" applyBorder="1"/>
    <xf numFmtId="0" fontId="13" fillId="6" borderId="4" xfId="0" applyFont="1" applyFill="1" applyBorder="1" applyAlignment="1">
      <alignment horizontal="left"/>
    </xf>
    <xf numFmtId="0" fontId="13" fillId="6" borderId="6" xfId="0" applyFont="1" applyFill="1" applyBorder="1" applyAlignment="1">
      <alignment horizontal="left"/>
    </xf>
    <xf numFmtId="0" fontId="14" fillId="6" borderId="3" xfId="0" applyFont="1" applyFill="1" applyBorder="1" applyAlignment="1">
      <alignment horizontal="left"/>
    </xf>
    <xf numFmtId="0" fontId="13" fillId="6" borderId="5" xfId="0" applyFont="1" applyFill="1" applyBorder="1" applyAlignment="1">
      <alignment horizontal="center"/>
    </xf>
    <xf numFmtId="0" fontId="15" fillId="6" borderId="5" xfId="2" applyFont="1" applyFill="1" applyBorder="1" applyAlignment="1">
      <alignment horizontal="center"/>
    </xf>
    <xf numFmtId="165" fontId="13" fillId="6" borderId="0" xfId="0" applyNumberFormat="1" applyFont="1" applyFill="1" applyBorder="1" applyAlignment="1">
      <alignment horizontal="center"/>
    </xf>
    <xf numFmtId="0" fontId="13" fillId="6" borderId="0" xfId="0" applyFont="1" applyFill="1" applyBorder="1" applyAlignment="1">
      <alignment horizontal="center"/>
    </xf>
    <xf numFmtId="0" fontId="14" fillId="6" borderId="7" xfId="0" applyFont="1" applyFill="1" applyBorder="1" applyAlignment="1">
      <alignment horizontal="center"/>
    </xf>
    <xf numFmtId="14" fontId="13" fillId="6" borderId="0" xfId="0" applyNumberFormat="1" applyFont="1" applyFill="1" applyBorder="1" applyAlignment="1">
      <alignment horizontal="center"/>
    </xf>
    <xf numFmtId="166" fontId="13" fillId="6" borderId="0" xfId="0" applyNumberFormat="1" applyFont="1" applyFill="1" applyBorder="1" applyAlignment="1">
      <alignment horizontal="center"/>
    </xf>
    <xf numFmtId="167" fontId="13" fillId="6" borderId="0" xfId="1" applyNumberFormat="1" applyFont="1" applyFill="1" applyBorder="1" applyAlignment="1">
      <alignment horizontal="center"/>
    </xf>
    <xf numFmtId="167" fontId="13" fillId="6" borderId="0" xfId="0" applyNumberFormat="1" applyFont="1" applyFill="1" applyBorder="1" applyAlignment="1">
      <alignment horizontal="center"/>
    </xf>
    <xf numFmtId="0" fontId="13" fillId="5" borderId="0" xfId="0" applyFont="1" applyFill="1" applyBorder="1" applyAlignment="1">
      <alignment horizontal="center"/>
    </xf>
    <xf numFmtId="49" fontId="16" fillId="6" borderId="0" xfId="0" applyNumberFormat="1" applyFont="1" applyFill="1" applyBorder="1" applyAlignment="1">
      <alignment horizontal="center"/>
    </xf>
    <xf numFmtId="165" fontId="16" fillId="6" borderId="0" xfId="0" applyNumberFormat="1" applyFont="1" applyFill="1" applyBorder="1" applyAlignment="1">
      <alignment horizontal="center"/>
    </xf>
    <xf numFmtId="0" fontId="17" fillId="6" borderId="6" xfId="0" applyFont="1" applyFill="1" applyBorder="1" applyAlignment="1">
      <alignment horizontal="left"/>
    </xf>
    <xf numFmtId="0" fontId="13" fillId="5" borderId="6" xfId="0" applyFont="1" applyFill="1" applyBorder="1" applyAlignment="1">
      <alignment horizontal="left"/>
    </xf>
    <xf numFmtId="14" fontId="13" fillId="5" borderId="0" xfId="0" applyNumberFormat="1" applyFont="1" applyFill="1" applyBorder="1" applyAlignment="1">
      <alignment horizontal="center"/>
    </xf>
    <xf numFmtId="166" fontId="13" fillId="5" borderId="0" xfId="0" applyNumberFormat="1" applyFont="1" applyFill="1" applyBorder="1" applyAlignment="1">
      <alignment horizontal="center"/>
    </xf>
    <xf numFmtId="165" fontId="13" fillId="5" borderId="0" xfId="0" applyNumberFormat="1" applyFont="1" applyFill="1" applyBorder="1" applyAlignment="1">
      <alignment horizontal="center"/>
    </xf>
    <xf numFmtId="167" fontId="13" fillId="5" borderId="0" xfId="1" applyNumberFormat="1" applyFont="1" applyFill="1" applyBorder="1" applyAlignment="1">
      <alignment horizontal="center"/>
    </xf>
    <xf numFmtId="167" fontId="13" fillId="5" borderId="0" xfId="0" applyNumberFormat="1" applyFont="1" applyFill="1" applyBorder="1" applyAlignment="1">
      <alignment horizontal="center"/>
    </xf>
    <xf numFmtId="164" fontId="13" fillId="6" borderId="5" xfId="0" applyNumberFormat="1" applyFont="1" applyFill="1" applyBorder="1" applyAlignment="1">
      <alignment horizontal="center"/>
    </xf>
    <xf numFmtId="164" fontId="13" fillId="6" borderId="0" xfId="0" applyNumberFormat="1" applyFont="1" applyFill="1" applyBorder="1" applyAlignment="1">
      <alignment horizontal="center"/>
    </xf>
    <xf numFmtId="164" fontId="14" fillId="6" borderId="7" xfId="0" applyNumberFormat="1" applyFont="1" applyFill="1" applyBorder="1" applyAlignment="1">
      <alignment horizontal="center"/>
    </xf>
    <xf numFmtId="164" fontId="13" fillId="5" borderId="0" xfId="0" applyNumberFormat="1" applyFont="1" applyFill="1" applyBorder="1" applyAlignment="1">
      <alignment horizontal="center"/>
    </xf>
    <xf numFmtId="49" fontId="18" fillId="2" borderId="0" xfId="0" applyNumberFormat="1" applyFont="1" applyFill="1" applyBorder="1" applyAlignment="1">
      <alignment horizontal="center"/>
    </xf>
    <xf numFmtId="49" fontId="19" fillId="0" borderId="15" xfId="3" applyNumberFormat="1" applyFont="1" applyFill="1" applyBorder="1" applyProtection="1">
      <protection locked="0"/>
    </xf>
    <xf numFmtId="0" fontId="19" fillId="0" borderId="15" xfId="3" applyFont="1" applyFill="1" applyBorder="1" applyAlignment="1" applyProtection="1">
      <alignment horizontal="center"/>
      <protection locked="0"/>
    </xf>
    <xf numFmtId="0" fontId="19" fillId="0" borderId="15" xfId="3" applyFont="1" applyFill="1" applyBorder="1" applyProtection="1">
      <protection locked="0"/>
    </xf>
    <xf numFmtId="14" fontId="19" fillId="0" borderId="15" xfId="3" applyNumberFormat="1" applyFont="1" applyFill="1" applyBorder="1" applyProtection="1">
      <protection locked="0"/>
    </xf>
    <xf numFmtId="14" fontId="19" fillId="0" borderId="15" xfId="3" applyNumberFormat="1" applyFont="1" applyFill="1" applyBorder="1" applyAlignment="1" applyProtection="1">
      <alignment horizontal="center"/>
      <protection locked="0"/>
    </xf>
    <xf numFmtId="0" fontId="19" fillId="0" borderId="0" xfId="3" applyFont="1" applyFill="1" applyProtection="1">
      <protection locked="0"/>
    </xf>
    <xf numFmtId="168" fontId="19" fillId="0" borderId="15" xfId="3" applyNumberFormat="1" applyFont="1" applyFill="1" applyBorder="1" applyProtection="1">
      <protection locked="0"/>
    </xf>
    <xf numFmtId="0" fontId="0" fillId="0" borderId="0" xfId="0" applyFont="1" applyAlignment="1">
      <alignment horizontal="center"/>
    </xf>
    <xf numFmtId="0" fontId="0" fillId="0" borderId="0" xfId="0" applyFont="1"/>
    <xf numFmtId="0" fontId="21" fillId="0" borderId="0" xfId="0" applyFont="1" applyAlignment="1">
      <alignment vertical="center"/>
    </xf>
    <xf numFmtId="0" fontId="0" fillId="0" borderId="0" xfId="0" applyFont="1" applyAlignment="1">
      <alignment horizontal="left"/>
    </xf>
    <xf numFmtId="49" fontId="0" fillId="0" borderId="0" xfId="0" applyNumberFormat="1" applyFont="1" applyAlignment="1">
      <alignment horizontal="left"/>
    </xf>
    <xf numFmtId="0" fontId="21" fillId="0" borderId="0" xfId="0" applyFont="1" applyAlignment="1">
      <alignment horizontal="right" vertical="center"/>
    </xf>
    <xf numFmtId="14" fontId="0" fillId="0" borderId="0" xfId="0" applyNumberFormat="1" applyFont="1" applyAlignment="1">
      <alignment horizontal="center"/>
    </xf>
    <xf numFmtId="0" fontId="21" fillId="0" borderId="0" xfId="0" applyFont="1" applyAlignment="1">
      <alignment horizontal="justify" vertical="center"/>
    </xf>
    <xf numFmtId="49" fontId="7" fillId="0" borderId="0" xfId="0" applyNumberFormat="1" applyFont="1" applyBorder="1" applyAlignment="1">
      <alignment horizontal="center"/>
    </xf>
    <xf numFmtId="0" fontId="8" fillId="4" borderId="1" xfId="0" applyFont="1" applyFill="1" applyBorder="1" applyAlignment="1">
      <alignment horizontal="center"/>
    </xf>
    <xf numFmtId="0" fontId="8" fillId="4" borderId="9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2" fillId="2" borderId="12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5" fillId="0" borderId="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</cellXfs>
  <cellStyles count="4">
    <cellStyle name="Hiperlink" xfId="2" builtinId="8"/>
    <cellStyle name="Normal" xfId="0" builtinId="0"/>
    <cellStyle name="Normal 2" xfId="3" xr:uid="{9818E3AB-1493-4E98-B589-C645933E85D7}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Aqui Planilha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369794</xdr:colOff>
      <xdr:row>0</xdr:row>
      <xdr:rowOff>56029</xdr:rowOff>
    </xdr:from>
    <xdr:to>
      <xdr:col>6</xdr:col>
      <xdr:colOff>224117</xdr:colOff>
      <xdr:row>1</xdr:row>
      <xdr:rowOff>112058</xdr:rowOff>
    </xdr:to>
    <xdr:sp macro="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961529" y="56029"/>
          <a:ext cx="2375647" cy="25773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392207</xdr:colOff>
      <xdr:row>0</xdr:row>
      <xdr:rowOff>56028</xdr:rowOff>
    </xdr:from>
    <xdr:to>
      <xdr:col>6</xdr:col>
      <xdr:colOff>224117</xdr:colOff>
      <xdr:row>1</xdr:row>
      <xdr:rowOff>123265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5983942" y="56028"/>
          <a:ext cx="2353234" cy="268943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 i="1"/>
            <a:t>Voltar aos Dados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175933</xdr:colOff>
      <xdr:row>0</xdr:row>
      <xdr:rowOff>28575</xdr:rowOff>
    </xdr:from>
    <xdr:to>
      <xdr:col>3</xdr:col>
      <xdr:colOff>1408579</xdr:colOff>
      <xdr:row>0</xdr:row>
      <xdr:rowOff>798404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379AC1E1-1E2F-4E83-A360-B75C179015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690" b="36191"/>
        <a:stretch/>
      </xdr:blipFill>
      <xdr:spPr>
        <a:xfrm>
          <a:off x="509308" y="28575"/>
          <a:ext cx="2842371" cy="7698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I141"/>
  <sheetViews>
    <sheetView workbookViewId="0">
      <selection activeCell="W6" sqref="W6"/>
    </sheetView>
  </sheetViews>
  <sheetFormatPr defaultRowHeight="15.75"/>
  <cols>
    <col min="1" max="1" width="30.375" style="25" bestFit="1" customWidth="1"/>
    <col min="2" max="2" width="19" style="34" bestFit="1" customWidth="1"/>
    <col min="3" max="3" width="13.75" style="23" bestFit="1" customWidth="1"/>
    <col min="4" max="4" width="10.125" style="23" bestFit="1" customWidth="1"/>
    <col min="5" max="5" width="15.125" style="23" bestFit="1" customWidth="1"/>
    <col min="6" max="6" width="18" style="23" bestFit="1" customWidth="1"/>
    <col min="7" max="7" width="24.125" style="23" bestFit="1" customWidth="1"/>
    <col min="8" max="8" width="9.875" style="23" bestFit="1" customWidth="1"/>
    <col min="9" max="9" width="16" style="23" bestFit="1" customWidth="1"/>
    <col min="10" max="10" width="23" style="23" bestFit="1" customWidth="1"/>
    <col min="11" max="11" width="14.375" style="23" bestFit="1" customWidth="1"/>
    <col min="12" max="12" width="16.625" style="23" customWidth="1"/>
    <col min="13" max="13" width="12.5" style="23" bestFit="1" customWidth="1"/>
    <col min="14" max="14" width="14.5" style="23" bestFit="1" customWidth="1"/>
    <col min="15" max="15" width="16.5" style="23" bestFit="1" customWidth="1"/>
    <col min="16" max="16" width="15.625" style="23" bestFit="1" customWidth="1"/>
    <col min="17" max="17" width="3.625" style="23" bestFit="1" customWidth="1"/>
    <col min="18" max="18" width="22.875" style="23" bestFit="1" customWidth="1"/>
    <col min="19" max="19" width="21.75" style="23" bestFit="1" customWidth="1"/>
    <col min="20" max="20" width="19.125" style="23" bestFit="1" customWidth="1"/>
    <col min="21" max="21" width="21.375" style="23" bestFit="1" customWidth="1"/>
    <col min="22" max="22" width="19.375" style="23" bestFit="1" customWidth="1"/>
    <col min="23" max="23" width="11.875" style="23" bestFit="1" customWidth="1"/>
    <col min="24" max="16384" width="9" style="23"/>
  </cols>
  <sheetData>
    <row r="1" spans="1:61">
      <c r="A1" s="25" t="s">
        <v>0</v>
      </c>
      <c r="B1" s="34" t="s">
        <v>1</v>
      </c>
      <c r="C1" s="23" t="s">
        <v>2</v>
      </c>
    </row>
    <row r="2" spans="1:61">
      <c r="A2" s="65" t="s">
        <v>65</v>
      </c>
      <c r="B2" s="81" t="s">
        <v>30</v>
      </c>
      <c r="C2" s="81"/>
    </row>
    <row r="3" spans="1:61" s="24" customFormat="1">
      <c r="A3" s="26" t="s">
        <v>3</v>
      </c>
      <c r="B3" s="35" t="s">
        <v>4</v>
      </c>
      <c r="C3" s="24" t="s">
        <v>5</v>
      </c>
      <c r="D3" s="24" t="s">
        <v>6</v>
      </c>
      <c r="E3" s="24" t="s">
        <v>7</v>
      </c>
      <c r="F3" s="24" t="s">
        <v>8</v>
      </c>
      <c r="G3" s="24" t="s">
        <v>9</v>
      </c>
      <c r="H3" s="24" t="s">
        <v>10</v>
      </c>
      <c r="I3" s="24" t="s">
        <v>11</v>
      </c>
      <c r="J3" s="24" t="s">
        <v>12</v>
      </c>
      <c r="K3" s="24" t="s">
        <v>13</v>
      </c>
      <c r="L3" s="24" t="s">
        <v>14</v>
      </c>
      <c r="M3" s="24" t="s">
        <v>15</v>
      </c>
      <c r="N3" s="24" t="s">
        <v>16</v>
      </c>
      <c r="O3" s="24" t="s">
        <v>17</v>
      </c>
      <c r="P3" s="24" t="s">
        <v>18</v>
      </c>
      <c r="Q3" s="24" t="s">
        <v>19</v>
      </c>
      <c r="R3" s="24" t="s">
        <v>20</v>
      </c>
      <c r="S3" s="24" t="s">
        <v>21</v>
      </c>
      <c r="T3" s="24" t="s">
        <v>22</v>
      </c>
      <c r="U3" s="24" t="s">
        <v>23</v>
      </c>
      <c r="V3" s="24" t="s">
        <v>24</v>
      </c>
      <c r="W3" s="24" t="s">
        <v>25</v>
      </c>
    </row>
    <row r="4" spans="1:61" ht="20.100000000000001" customHeight="1">
      <c r="A4" s="68" t="s">
        <v>41</v>
      </c>
      <c r="B4" s="70">
        <v>35350</v>
      </c>
      <c r="C4" s="67" t="s">
        <v>42</v>
      </c>
      <c r="D4" s="67">
        <v>89968000</v>
      </c>
      <c r="E4" s="68" t="s">
        <v>43</v>
      </c>
      <c r="F4" s="68" t="s">
        <v>44</v>
      </c>
      <c r="G4" s="68" t="s">
        <v>45</v>
      </c>
      <c r="H4" s="68" t="s">
        <v>46</v>
      </c>
      <c r="I4" s="68"/>
      <c r="J4" s="68" t="s">
        <v>47</v>
      </c>
      <c r="K4" s="68" t="s">
        <v>48</v>
      </c>
      <c r="L4" s="66" t="s">
        <v>49</v>
      </c>
      <c r="M4" s="66" t="s">
        <v>50</v>
      </c>
      <c r="N4" s="69">
        <v>39658</v>
      </c>
      <c r="O4" s="68" t="s">
        <v>51</v>
      </c>
      <c r="P4" s="68" t="s">
        <v>48</v>
      </c>
      <c r="Q4" s="68"/>
      <c r="R4" s="68"/>
      <c r="S4" s="66"/>
      <c r="T4" s="66" t="s">
        <v>39</v>
      </c>
      <c r="U4" s="66" t="s">
        <v>52</v>
      </c>
      <c r="V4" s="66" t="s">
        <v>53</v>
      </c>
      <c r="W4" s="66" t="s">
        <v>40</v>
      </c>
      <c r="X4" s="66"/>
      <c r="Y4" s="72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1"/>
    </row>
    <row r="5" spans="1:61" ht="20.100000000000001" customHeight="1">
      <c r="A5" s="68" t="s">
        <v>54</v>
      </c>
      <c r="B5" s="70">
        <v>29005</v>
      </c>
      <c r="C5" s="67" t="s">
        <v>42</v>
      </c>
      <c r="D5" s="67" t="s">
        <v>55</v>
      </c>
      <c r="E5" s="68" t="s">
        <v>43</v>
      </c>
      <c r="F5" s="68" t="s">
        <v>44</v>
      </c>
      <c r="G5" s="68" t="s">
        <v>56</v>
      </c>
      <c r="H5" s="68" t="s">
        <v>46</v>
      </c>
      <c r="I5" s="68"/>
      <c r="J5" s="68" t="s">
        <v>57</v>
      </c>
      <c r="K5" s="68" t="s">
        <v>58</v>
      </c>
      <c r="L5" s="66" t="s">
        <v>59</v>
      </c>
      <c r="M5" s="66" t="s">
        <v>60</v>
      </c>
      <c r="N5" s="69">
        <v>42232</v>
      </c>
      <c r="O5" s="68" t="s">
        <v>61</v>
      </c>
      <c r="P5" s="68" t="s">
        <v>58</v>
      </c>
      <c r="Q5" s="68"/>
      <c r="R5" s="68"/>
      <c r="S5" s="66"/>
      <c r="T5" s="66" t="s">
        <v>62</v>
      </c>
      <c r="U5" s="66" t="s">
        <v>63</v>
      </c>
      <c r="V5" s="66" t="s">
        <v>64</v>
      </c>
      <c r="W5" s="66" t="s">
        <v>66</v>
      </c>
      <c r="X5" s="66"/>
      <c r="Y5" s="72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1"/>
    </row>
    <row r="6" spans="1:61" ht="20.100000000000001" customHeight="1">
      <c r="N6" s="34"/>
      <c r="O6" s="37"/>
      <c r="Q6" s="36"/>
      <c r="T6" s="38"/>
      <c r="U6" s="38"/>
    </row>
    <row r="7" spans="1:61" ht="20.100000000000001" customHeight="1">
      <c r="N7" s="34"/>
      <c r="O7" s="37"/>
      <c r="Q7" s="36"/>
      <c r="T7" s="38"/>
      <c r="U7" s="38"/>
    </row>
    <row r="8" spans="1:61" ht="20.100000000000001" customHeight="1">
      <c r="N8" s="34"/>
      <c r="O8" s="37"/>
      <c r="Q8" s="36"/>
      <c r="T8" s="38"/>
      <c r="U8" s="38"/>
    </row>
    <row r="9" spans="1:61" ht="20.100000000000001" customHeight="1">
      <c r="N9" s="34"/>
      <c r="O9" s="37"/>
      <c r="Q9" s="36"/>
      <c r="T9" s="38"/>
      <c r="U9" s="38"/>
    </row>
    <row r="10" spans="1:61" ht="20.100000000000001" customHeight="1">
      <c r="N10" s="34"/>
    </row>
    <row r="11" spans="1:61" ht="20.100000000000001" customHeight="1">
      <c r="N11" s="34"/>
    </row>
    <row r="12" spans="1:61" ht="20.100000000000001" customHeight="1">
      <c r="N12" s="34"/>
    </row>
    <row r="13" spans="1:61" ht="20.100000000000001" customHeight="1">
      <c r="N13" s="34"/>
    </row>
    <row r="14" spans="1:61" ht="20.100000000000001" customHeight="1">
      <c r="N14" s="34"/>
    </row>
    <row r="15" spans="1:61" ht="20.100000000000001" customHeight="1">
      <c r="N15" s="34"/>
    </row>
    <row r="16" spans="1:61" ht="20.100000000000001" customHeight="1">
      <c r="N16" s="34"/>
    </row>
    <row r="17" spans="14:14" ht="20.100000000000001" customHeight="1">
      <c r="N17" s="34"/>
    </row>
    <row r="18" spans="14:14" ht="20.100000000000001" customHeight="1">
      <c r="N18" s="34"/>
    </row>
    <row r="19" spans="14:14" ht="20.100000000000001" customHeight="1">
      <c r="N19" s="34"/>
    </row>
    <row r="20" spans="14:14" ht="20.100000000000001" customHeight="1">
      <c r="N20" s="34"/>
    </row>
    <row r="21" spans="14:14" ht="20.100000000000001" customHeight="1">
      <c r="N21" s="34"/>
    </row>
    <row r="22" spans="14:14" ht="20.100000000000001" customHeight="1">
      <c r="N22" s="34"/>
    </row>
    <row r="23" spans="14:14">
      <c r="N23" s="34"/>
    </row>
    <row r="24" spans="14:14">
      <c r="N24" s="34"/>
    </row>
    <row r="25" spans="14:14">
      <c r="N25" s="34"/>
    </row>
    <row r="26" spans="14:14">
      <c r="N26" s="34"/>
    </row>
    <row r="27" spans="14:14">
      <c r="N27" s="34"/>
    </row>
    <row r="28" spans="14:14">
      <c r="N28" s="34"/>
    </row>
    <row r="29" spans="14:14">
      <c r="N29" s="34"/>
    </row>
    <row r="30" spans="14:14">
      <c r="N30" s="34"/>
    </row>
    <row r="31" spans="14:14">
      <c r="N31" s="34"/>
    </row>
    <row r="32" spans="14:14">
      <c r="N32" s="34"/>
    </row>
    <row r="33" spans="14:14">
      <c r="N33" s="34"/>
    </row>
    <row r="34" spans="14:14">
      <c r="N34" s="34"/>
    </row>
    <row r="35" spans="14:14">
      <c r="N35" s="34"/>
    </row>
    <row r="36" spans="14:14">
      <c r="N36" s="34"/>
    </row>
    <row r="37" spans="14:14">
      <c r="N37" s="34"/>
    </row>
    <row r="38" spans="14:14">
      <c r="N38" s="34"/>
    </row>
    <row r="39" spans="14:14">
      <c r="N39" s="34"/>
    </row>
    <row r="40" spans="14:14">
      <c r="N40" s="34"/>
    </row>
    <row r="41" spans="14:14">
      <c r="N41" s="34"/>
    </row>
    <row r="42" spans="14:14">
      <c r="N42" s="34"/>
    </row>
    <row r="43" spans="14:14">
      <c r="N43" s="34"/>
    </row>
    <row r="44" spans="14:14">
      <c r="N44" s="34"/>
    </row>
    <row r="45" spans="14:14">
      <c r="N45" s="34"/>
    </row>
    <row r="46" spans="14:14">
      <c r="N46" s="34"/>
    </row>
    <row r="47" spans="14:14">
      <c r="N47" s="34"/>
    </row>
    <row r="48" spans="14:14">
      <c r="N48" s="34"/>
    </row>
    <row r="49" spans="14:14">
      <c r="N49" s="34"/>
    </row>
    <row r="50" spans="14:14">
      <c r="N50" s="34"/>
    </row>
    <row r="51" spans="14:14">
      <c r="N51" s="34"/>
    </row>
    <row r="52" spans="14:14">
      <c r="N52" s="34"/>
    </row>
    <row r="53" spans="14:14">
      <c r="N53" s="34"/>
    </row>
    <row r="54" spans="14:14">
      <c r="N54" s="34"/>
    </row>
    <row r="55" spans="14:14">
      <c r="N55" s="34"/>
    </row>
    <row r="56" spans="14:14">
      <c r="N56" s="34"/>
    </row>
    <row r="57" spans="14:14">
      <c r="N57" s="34"/>
    </row>
    <row r="58" spans="14:14">
      <c r="N58" s="34"/>
    </row>
    <row r="59" spans="14:14">
      <c r="N59" s="34"/>
    </row>
    <row r="60" spans="14:14">
      <c r="N60" s="34"/>
    </row>
    <row r="61" spans="14:14">
      <c r="N61" s="34"/>
    </row>
    <row r="62" spans="14:14">
      <c r="N62" s="34"/>
    </row>
    <row r="63" spans="14:14">
      <c r="N63" s="34"/>
    </row>
    <row r="64" spans="14:14">
      <c r="N64" s="34"/>
    </row>
    <row r="65" spans="14:14">
      <c r="N65" s="34"/>
    </row>
    <row r="66" spans="14:14">
      <c r="N66" s="34"/>
    </row>
    <row r="67" spans="14:14">
      <c r="N67" s="34"/>
    </row>
    <row r="68" spans="14:14">
      <c r="N68" s="34"/>
    </row>
    <row r="69" spans="14:14">
      <c r="N69" s="34"/>
    </row>
    <row r="70" spans="14:14">
      <c r="N70" s="34"/>
    </row>
    <row r="71" spans="14:14">
      <c r="N71" s="34"/>
    </row>
    <row r="72" spans="14:14">
      <c r="N72" s="34"/>
    </row>
    <row r="73" spans="14:14">
      <c r="N73" s="34"/>
    </row>
    <row r="74" spans="14:14">
      <c r="N74" s="34"/>
    </row>
    <row r="75" spans="14:14">
      <c r="N75" s="34"/>
    </row>
    <row r="76" spans="14:14">
      <c r="N76" s="34"/>
    </row>
    <row r="77" spans="14:14">
      <c r="N77" s="34"/>
    </row>
    <row r="78" spans="14:14">
      <c r="N78" s="34"/>
    </row>
    <row r="79" spans="14:14">
      <c r="N79" s="34"/>
    </row>
    <row r="80" spans="14:14">
      <c r="N80" s="34"/>
    </row>
    <row r="81" spans="14:14">
      <c r="N81" s="34"/>
    </row>
    <row r="82" spans="14:14">
      <c r="N82" s="34"/>
    </row>
    <row r="83" spans="14:14">
      <c r="N83" s="34"/>
    </row>
    <row r="84" spans="14:14">
      <c r="N84" s="34"/>
    </row>
    <row r="85" spans="14:14">
      <c r="N85" s="34"/>
    </row>
    <row r="86" spans="14:14">
      <c r="N86" s="34"/>
    </row>
    <row r="87" spans="14:14">
      <c r="N87" s="34"/>
    </row>
    <row r="88" spans="14:14">
      <c r="N88" s="34"/>
    </row>
    <row r="89" spans="14:14">
      <c r="N89" s="34"/>
    </row>
    <row r="90" spans="14:14">
      <c r="N90" s="34"/>
    </row>
    <row r="91" spans="14:14">
      <c r="N91" s="34"/>
    </row>
    <row r="92" spans="14:14">
      <c r="N92" s="34"/>
    </row>
    <row r="93" spans="14:14">
      <c r="N93" s="34"/>
    </row>
    <row r="94" spans="14:14">
      <c r="N94" s="34"/>
    </row>
    <row r="95" spans="14:14">
      <c r="N95" s="34"/>
    </row>
    <row r="96" spans="14:14">
      <c r="N96" s="34"/>
    </row>
    <row r="97" spans="14:14">
      <c r="N97" s="34"/>
    </row>
    <row r="98" spans="14:14">
      <c r="N98" s="34"/>
    </row>
    <row r="99" spans="14:14">
      <c r="N99" s="34"/>
    </row>
    <row r="100" spans="14:14">
      <c r="N100" s="34"/>
    </row>
    <row r="101" spans="14:14">
      <c r="N101" s="34"/>
    </row>
    <row r="102" spans="14:14">
      <c r="N102" s="34"/>
    </row>
    <row r="103" spans="14:14">
      <c r="N103" s="34"/>
    </row>
    <row r="104" spans="14:14">
      <c r="N104" s="34"/>
    </row>
    <row r="105" spans="14:14">
      <c r="N105" s="34"/>
    </row>
    <row r="106" spans="14:14">
      <c r="N106" s="34"/>
    </row>
    <row r="107" spans="14:14">
      <c r="N107" s="34"/>
    </row>
    <row r="108" spans="14:14">
      <c r="N108" s="34"/>
    </row>
    <row r="109" spans="14:14">
      <c r="N109" s="34"/>
    </row>
    <row r="110" spans="14:14">
      <c r="N110" s="34"/>
    </row>
    <row r="111" spans="14:14">
      <c r="N111" s="34"/>
    </row>
    <row r="112" spans="14:14">
      <c r="N112" s="34"/>
    </row>
    <row r="113" spans="14:14">
      <c r="N113" s="34"/>
    </row>
    <row r="114" spans="14:14">
      <c r="N114" s="34"/>
    </row>
    <row r="115" spans="14:14">
      <c r="N115" s="34"/>
    </row>
    <row r="116" spans="14:14">
      <c r="N116" s="34"/>
    </row>
    <row r="117" spans="14:14">
      <c r="N117" s="34"/>
    </row>
    <row r="118" spans="14:14">
      <c r="N118" s="34"/>
    </row>
    <row r="119" spans="14:14">
      <c r="N119" s="34"/>
    </row>
    <row r="120" spans="14:14">
      <c r="N120" s="34"/>
    </row>
    <row r="121" spans="14:14">
      <c r="N121" s="34"/>
    </row>
    <row r="122" spans="14:14">
      <c r="N122" s="34"/>
    </row>
    <row r="123" spans="14:14">
      <c r="N123" s="34"/>
    </row>
    <row r="124" spans="14:14">
      <c r="N124" s="34"/>
    </row>
    <row r="125" spans="14:14">
      <c r="N125" s="34"/>
    </row>
    <row r="126" spans="14:14">
      <c r="N126" s="34"/>
    </row>
    <row r="127" spans="14:14">
      <c r="N127" s="34"/>
    </row>
    <row r="128" spans="14:14">
      <c r="N128" s="34"/>
    </row>
    <row r="129" spans="14:14">
      <c r="N129" s="34"/>
    </row>
    <row r="130" spans="14:14">
      <c r="N130" s="34"/>
    </row>
    <row r="131" spans="14:14">
      <c r="N131" s="34"/>
    </row>
    <row r="132" spans="14:14">
      <c r="N132" s="34"/>
    </row>
    <row r="133" spans="14:14">
      <c r="N133" s="34"/>
    </row>
    <row r="134" spans="14:14">
      <c r="N134" s="34"/>
    </row>
    <row r="135" spans="14:14">
      <c r="N135" s="34"/>
    </row>
    <row r="136" spans="14:14">
      <c r="N136" s="34"/>
    </row>
    <row r="137" spans="14:14">
      <c r="N137" s="34"/>
    </row>
    <row r="138" spans="14:14">
      <c r="N138" s="34"/>
    </row>
    <row r="139" spans="14:14">
      <c r="N139" s="34"/>
    </row>
    <row r="140" spans="14:14">
      <c r="N140" s="34"/>
    </row>
    <row r="141" spans="14:14">
      <c r="N141" s="34"/>
    </row>
  </sheetData>
  <mergeCells count="1">
    <mergeCell ref="B2:C2"/>
  </mergeCells>
  <phoneticPr fontId="12" type="noConversion"/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&amp;C&amp;1#&amp;"Calibri"&amp;10&amp;K000000Classificação da informação: Uso Interno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5"/>
  <dimension ref="A1:W50"/>
  <sheetViews>
    <sheetView topLeftCell="L1" workbookViewId="0">
      <selection activeCell="S4" sqref="S4"/>
    </sheetView>
  </sheetViews>
  <sheetFormatPr defaultRowHeight="15.75"/>
  <cols>
    <col min="1" max="1" width="30.375" style="12" bestFit="1" customWidth="1"/>
    <col min="2" max="2" width="19" style="13" bestFit="1" customWidth="1"/>
    <col min="3" max="3" width="13.75" style="13" bestFit="1" customWidth="1"/>
    <col min="4" max="4" width="10.125" style="12" bestFit="1" customWidth="1"/>
    <col min="5" max="5" width="15.125" style="12" bestFit="1" customWidth="1"/>
    <col min="6" max="6" width="18" style="12" bestFit="1" customWidth="1"/>
    <col min="7" max="7" width="24.125" style="12" bestFit="1" customWidth="1"/>
    <col min="8" max="8" width="9.875" style="12" bestFit="1" customWidth="1"/>
    <col min="9" max="9" width="16" style="12" bestFit="1" customWidth="1"/>
    <col min="10" max="10" width="23" style="12" bestFit="1" customWidth="1"/>
    <col min="11" max="11" width="14.375" style="12" bestFit="1" customWidth="1"/>
    <col min="12" max="12" width="13.5" style="12" bestFit="1" customWidth="1"/>
    <col min="13" max="13" width="12.5" style="12" bestFit="1" customWidth="1"/>
    <col min="14" max="14" width="14.5" style="12" bestFit="1" customWidth="1"/>
    <col min="15" max="15" width="16.5" style="12" bestFit="1" customWidth="1"/>
    <col min="16" max="16" width="15.625" style="12" bestFit="1" customWidth="1"/>
    <col min="17" max="17" width="3.625" style="12" bestFit="1" customWidth="1"/>
    <col min="18" max="18" width="22.875" style="12" bestFit="1" customWidth="1"/>
    <col min="19" max="19" width="21.75" style="12" bestFit="1" customWidth="1"/>
    <col min="20" max="20" width="19.125" style="12" bestFit="1" customWidth="1"/>
    <col min="21" max="21" width="21.375" style="12" bestFit="1" customWidth="1"/>
    <col min="22" max="22" width="19.375" style="12" bestFit="1" customWidth="1"/>
    <col min="23" max="23" width="11.875" style="12" bestFit="1" customWidth="1"/>
    <col min="24" max="16384" width="9" style="12"/>
  </cols>
  <sheetData>
    <row r="1" spans="1:23">
      <c r="A1" s="12" t="s">
        <v>0</v>
      </c>
      <c r="B1" s="13" t="s">
        <v>1</v>
      </c>
      <c r="C1" s="13" t="s">
        <v>2</v>
      </c>
    </row>
    <row r="2" spans="1:23">
      <c r="B2" s="14"/>
      <c r="C2" s="15"/>
    </row>
    <row r="3" spans="1:23">
      <c r="A3" s="12" t="s">
        <v>3</v>
      </c>
      <c r="B3" s="13" t="s">
        <v>4</v>
      </c>
      <c r="C3" s="13" t="s">
        <v>5</v>
      </c>
      <c r="D3" s="12" t="s">
        <v>6</v>
      </c>
      <c r="E3" s="12" t="s">
        <v>7</v>
      </c>
      <c r="F3" s="12" t="s">
        <v>8</v>
      </c>
      <c r="G3" s="12" t="s">
        <v>9</v>
      </c>
      <c r="H3" s="12" t="s">
        <v>10</v>
      </c>
      <c r="I3" s="12" t="s">
        <v>11</v>
      </c>
      <c r="J3" s="12" t="s">
        <v>12</v>
      </c>
      <c r="K3" s="12" t="s">
        <v>13</v>
      </c>
      <c r="L3" s="12" t="s">
        <v>14</v>
      </c>
      <c r="M3" s="12" t="s">
        <v>15</v>
      </c>
      <c r="N3" s="12" t="s">
        <v>16</v>
      </c>
      <c r="O3" s="12" t="s">
        <v>17</v>
      </c>
      <c r="P3" s="12" t="s">
        <v>18</v>
      </c>
      <c r="Q3" s="12" t="s">
        <v>19</v>
      </c>
      <c r="R3" s="12" t="s">
        <v>20</v>
      </c>
      <c r="S3" s="12" t="s">
        <v>21</v>
      </c>
      <c r="T3" s="12" t="s">
        <v>22</v>
      </c>
      <c r="U3" s="12" t="s">
        <v>23</v>
      </c>
      <c r="V3" s="12" t="s">
        <v>24</v>
      </c>
      <c r="W3" s="12" t="s">
        <v>25</v>
      </c>
    </row>
    <row r="4" spans="1:23">
      <c r="B4" s="16"/>
      <c r="D4" s="17"/>
      <c r="H4" s="18"/>
      <c r="L4" s="19">
        <f>VALUE(SUBSTITUTE(SUBSTITUTE(SUBSTITUTE(SUBSTITUTE('Aqui Planilha'!L4, ".", ""), "-",""), ";", ""), ":", ""))</f>
        <v>10233977902</v>
      </c>
      <c r="M4" s="17"/>
      <c r="N4" s="20"/>
      <c r="Q4" s="21"/>
      <c r="S4" s="19" t="e">
        <f>VALUE(SUBSTITUTE(SUBSTITUTE(SUBSTITUTE(SUBSTITUTE('Aqui Planilha'!S4, ".", ""), "-",""), ";", ""), ":", ""))</f>
        <v>#VALUE!</v>
      </c>
      <c r="T4" s="22"/>
      <c r="U4" s="22"/>
      <c r="V4" s="22"/>
      <c r="W4" s="15"/>
    </row>
    <row r="5" spans="1:23">
      <c r="B5" s="16"/>
      <c r="D5" s="17"/>
      <c r="H5" s="18"/>
      <c r="L5" s="19">
        <f>VALUE(SUBSTITUTE(SUBSTITUTE(SUBSTITUTE(SUBSTITUTE('Aqui Planilha'!L5, ".", ""), "-",""), ";", ""), ":", ""))</f>
        <v>550087044</v>
      </c>
      <c r="M5" s="17"/>
      <c r="N5" s="20"/>
      <c r="Q5" s="21"/>
      <c r="R5" s="12" t="str">
        <f>UPPER(ACENTO('Aqui Planilha'!R5))</f>
        <v/>
      </c>
      <c r="S5" s="19" t="e">
        <f>VALUE(SUBSTITUTE(SUBSTITUTE(SUBSTITUTE(SUBSTITUTE('Aqui Planilha'!S5, ".", ""), "-",""), ";", ""), ":", ""))</f>
        <v>#VALUE!</v>
      </c>
      <c r="T5" s="22" t="str">
        <f>SUBSTITUTE(SUBSTITUTE(SUBSTITUTE(SUBSTITUTE('Aqui Planilha'!T5, ".", ""), "-",""), ";", ""), ":", "")</f>
        <v>041</v>
      </c>
      <c r="U5" s="22" t="str">
        <f>SUBSTITUTE(SUBSTITUTE(SUBSTITUTE(SUBSTITUTE('Aqui Planilha'!U5, ".", ""), "-",""), ";", ""), ":", "")</f>
        <v>0630</v>
      </c>
      <c r="V5" s="22" t="str">
        <f>SUBSTITUTE(SUBSTITUTE(SUBSTITUTE(SUBSTITUTE('Aqui Planilha'!V5, ".", ""), "-",""), ";", ""), ":", "")</f>
        <v>3906970201</v>
      </c>
      <c r="W5" s="15" t="str">
        <f>SUBSTITUTE(SUBSTITUTE(SUBSTITUTE(SUBSTITUTE('Aqui Planilha'!W5, ".", ""), "-",""), ";", ""), ":", "")</f>
        <v>2</v>
      </c>
    </row>
    <row r="6" spans="1:23">
      <c r="B6" s="16"/>
      <c r="D6" s="17"/>
      <c r="H6" s="18"/>
      <c r="L6" s="19" t="e">
        <f>VALUE(SUBSTITUTE(SUBSTITUTE(SUBSTITUTE(SUBSTITUTE('Aqui Planilha'!L6, ".", ""), "-",""), ";", ""), ":", ""))</f>
        <v>#VALUE!</v>
      </c>
      <c r="M6" s="17"/>
      <c r="N6" s="20"/>
      <c r="Q6" s="21"/>
      <c r="R6" s="12" t="str">
        <f>UPPER(ACENTO('Aqui Planilha'!R6))</f>
        <v/>
      </c>
      <c r="S6" s="19" t="e">
        <f>VALUE(SUBSTITUTE(SUBSTITUTE(SUBSTITUTE(SUBSTITUTE('Aqui Planilha'!S6, ".", ""), "-",""), ";", ""), ":", ""))</f>
        <v>#VALUE!</v>
      </c>
      <c r="T6" s="22" t="str">
        <f>SUBSTITUTE(SUBSTITUTE(SUBSTITUTE(SUBSTITUTE('Aqui Planilha'!T6, ".", ""), "-",""), ";", ""), ":", "")</f>
        <v/>
      </c>
      <c r="U6" s="22" t="str">
        <f>SUBSTITUTE(SUBSTITUTE(SUBSTITUTE(SUBSTITUTE('Aqui Planilha'!U6, ".", ""), "-",""), ";", ""), ":", "")</f>
        <v/>
      </c>
      <c r="V6" s="22" t="str">
        <f>SUBSTITUTE(SUBSTITUTE(SUBSTITUTE(SUBSTITUTE('Aqui Planilha'!V6, ".", ""), "-",""), ";", ""), ":", "")</f>
        <v/>
      </c>
      <c r="W6" s="15" t="str">
        <f>SUBSTITUTE(SUBSTITUTE(SUBSTITUTE(SUBSTITUTE('Aqui Planilha'!W6, ".", ""), "-",""), ";", ""), ":", "")</f>
        <v/>
      </c>
    </row>
    <row r="7" spans="1:23">
      <c r="B7" s="16"/>
      <c r="D7" s="17"/>
      <c r="H7" s="18"/>
      <c r="L7" s="19" t="e">
        <f>VALUE(SUBSTITUTE(SUBSTITUTE(SUBSTITUTE(SUBSTITUTE('Aqui Planilha'!L7, ".", ""), "-",""), ";", ""), ":", ""))</f>
        <v>#VALUE!</v>
      </c>
      <c r="M7" s="17"/>
      <c r="N7" s="20"/>
      <c r="Q7" s="21"/>
      <c r="R7" s="12" t="str">
        <f>UPPER(ACENTO('Aqui Planilha'!R7))</f>
        <v/>
      </c>
      <c r="S7" s="19" t="e">
        <f>VALUE(SUBSTITUTE(SUBSTITUTE(SUBSTITUTE(SUBSTITUTE('Aqui Planilha'!S7, ".", ""), "-",""), ";", ""), ":", ""))</f>
        <v>#VALUE!</v>
      </c>
      <c r="T7" s="22" t="str">
        <f>SUBSTITUTE(SUBSTITUTE(SUBSTITUTE(SUBSTITUTE('Aqui Planilha'!T7, ".", ""), "-",""), ";", ""), ":", "")</f>
        <v/>
      </c>
      <c r="U7" s="22" t="str">
        <f>SUBSTITUTE(SUBSTITUTE(SUBSTITUTE(SUBSTITUTE('Aqui Planilha'!U7, ".", ""), "-",""), ";", ""), ":", "")</f>
        <v/>
      </c>
      <c r="V7" s="22" t="str">
        <f>SUBSTITUTE(SUBSTITUTE(SUBSTITUTE(SUBSTITUTE('Aqui Planilha'!V7, ".", ""), "-",""), ";", ""), ":", "")</f>
        <v/>
      </c>
      <c r="W7" s="15" t="str">
        <f>SUBSTITUTE(SUBSTITUTE(SUBSTITUTE(SUBSTITUTE('Aqui Planilha'!W7, ".", ""), "-",""), ";", ""), ":", "")</f>
        <v/>
      </c>
    </row>
    <row r="8" spans="1:23">
      <c r="B8" s="16"/>
      <c r="D8" s="17"/>
      <c r="H8" s="18"/>
      <c r="L8" s="19" t="e">
        <f>VALUE(SUBSTITUTE(SUBSTITUTE(SUBSTITUTE(SUBSTITUTE('Aqui Planilha'!L8, ".", ""), "-",""), ";", ""), ":", ""))</f>
        <v>#VALUE!</v>
      </c>
      <c r="M8" s="17"/>
      <c r="N8" s="20"/>
      <c r="Q8" s="21"/>
      <c r="R8" s="12" t="str">
        <f>UPPER(ACENTO('Aqui Planilha'!R8))</f>
        <v/>
      </c>
      <c r="S8" s="19" t="e">
        <f>VALUE(SUBSTITUTE(SUBSTITUTE(SUBSTITUTE(SUBSTITUTE('Aqui Planilha'!S8, ".", ""), "-",""), ";", ""), ":", ""))</f>
        <v>#VALUE!</v>
      </c>
      <c r="T8" s="22" t="str">
        <f>SUBSTITUTE(SUBSTITUTE(SUBSTITUTE(SUBSTITUTE('Aqui Planilha'!T8, ".", ""), "-",""), ";", ""), ":", "")</f>
        <v/>
      </c>
      <c r="U8" s="22" t="str">
        <f>SUBSTITUTE(SUBSTITUTE(SUBSTITUTE(SUBSTITUTE('Aqui Planilha'!U8, ".", ""), "-",""), ";", ""), ":", "")</f>
        <v/>
      </c>
      <c r="V8" s="22" t="str">
        <f>SUBSTITUTE(SUBSTITUTE(SUBSTITUTE(SUBSTITUTE('Aqui Planilha'!V8, ".", ""), "-",""), ";", ""), ":", "")</f>
        <v/>
      </c>
      <c r="W8" s="15" t="str">
        <f>SUBSTITUTE(SUBSTITUTE(SUBSTITUTE(SUBSTITUTE('Aqui Planilha'!W8, ".", ""), "-",""), ";", ""), ":", "")</f>
        <v/>
      </c>
    </row>
    <row r="9" spans="1:23">
      <c r="B9" s="16"/>
      <c r="D9" s="17"/>
      <c r="H9" s="18"/>
      <c r="L9" s="19" t="e">
        <f>VALUE(SUBSTITUTE(SUBSTITUTE(SUBSTITUTE(SUBSTITUTE('Aqui Planilha'!L9, ".", ""), "-",""), ";", ""), ":", ""))</f>
        <v>#VALUE!</v>
      </c>
      <c r="M9" s="17"/>
      <c r="N9" s="20"/>
      <c r="Q9" s="21"/>
      <c r="R9" s="12" t="str">
        <f>UPPER(ACENTO('Aqui Planilha'!R9))</f>
        <v/>
      </c>
      <c r="S9" s="19" t="e">
        <f>VALUE(SUBSTITUTE(SUBSTITUTE(SUBSTITUTE(SUBSTITUTE('Aqui Planilha'!S9, ".", ""), "-",""), ";", ""), ":", ""))</f>
        <v>#VALUE!</v>
      </c>
      <c r="T9" s="22" t="str">
        <f>SUBSTITUTE(SUBSTITUTE(SUBSTITUTE(SUBSTITUTE('Aqui Planilha'!T9, ".", ""), "-",""), ";", ""), ":", "")</f>
        <v/>
      </c>
      <c r="U9" s="22" t="str">
        <f>SUBSTITUTE(SUBSTITUTE(SUBSTITUTE(SUBSTITUTE('Aqui Planilha'!U9, ".", ""), "-",""), ";", ""), ":", "")</f>
        <v/>
      </c>
      <c r="V9" s="22" t="str">
        <f>SUBSTITUTE(SUBSTITUTE(SUBSTITUTE(SUBSTITUTE('Aqui Planilha'!V9, ".", ""), "-",""), ";", ""), ":", "")</f>
        <v/>
      </c>
      <c r="W9" s="15" t="str">
        <f>SUBSTITUTE(SUBSTITUTE(SUBSTITUTE(SUBSTITUTE('Aqui Planilha'!W9, ".", ""), "-",""), ";", ""), ":", "")</f>
        <v/>
      </c>
    </row>
    <row r="10" spans="1:23">
      <c r="B10" s="16"/>
      <c r="D10" s="17"/>
      <c r="H10" s="18"/>
      <c r="L10" s="19" t="e">
        <f>VALUE(SUBSTITUTE(SUBSTITUTE(SUBSTITUTE(SUBSTITUTE('Aqui Planilha'!L10, ".", ""), "-",""), ";", ""), ":", ""))</f>
        <v>#VALUE!</v>
      </c>
      <c r="M10" s="17"/>
      <c r="N10" s="20"/>
      <c r="Q10" s="21"/>
      <c r="R10" s="12" t="str">
        <f>UPPER(ACENTO('Aqui Planilha'!R10))</f>
        <v/>
      </c>
      <c r="S10" s="19" t="e">
        <f>VALUE(SUBSTITUTE(SUBSTITUTE(SUBSTITUTE(SUBSTITUTE('Aqui Planilha'!S10, ".", ""), "-",""), ";", ""), ":", ""))</f>
        <v>#VALUE!</v>
      </c>
      <c r="T10" s="22" t="str">
        <f>SUBSTITUTE(SUBSTITUTE(SUBSTITUTE(SUBSTITUTE('Aqui Planilha'!T10, ".", ""), "-",""), ";", ""), ":", "")</f>
        <v/>
      </c>
      <c r="U10" s="22" t="str">
        <f>SUBSTITUTE(SUBSTITUTE(SUBSTITUTE(SUBSTITUTE('Aqui Planilha'!U10, ".", ""), "-",""), ";", ""), ":", "")</f>
        <v/>
      </c>
      <c r="V10" s="22" t="str">
        <f>SUBSTITUTE(SUBSTITUTE(SUBSTITUTE(SUBSTITUTE('Aqui Planilha'!V10, ".", ""), "-",""), ";", ""), ":", "")</f>
        <v/>
      </c>
      <c r="W10" s="15" t="str">
        <f>SUBSTITUTE(SUBSTITUTE(SUBSTITUTE(SUBSTITUTE('Aqui Planilha'!W10, ".", ""), "-",""), ";", ""), ":", "")</f>
        <v/>
      </c>
    </row>
    <row r="11" spans="1:23">
      <c r="B11" s="16"/>
      <c r="D11" s="17"/>
      <c r="H11" s="18"/>
      <c r="L11" s="19" t="e">
        <f>VALUE(SUBSTITUTE(SUBSTITUTE(SUBSTITUTE(SUBSTITUTE('Aqui Planilha'!L11, ".", ""), "-",""), ";", ""), ":", ""))</f>
        <v>#VALUE!</v>
      </c>
      <c r="M11" s="17"/>
      <c r="N11" s="20"/>
      <c r="Q11" s="21"/>
      <c r="R11" s="12" t="str">
        <f>UPPER(ACENTO('Aqui Planilha'!R11))</f>
        <v/>
      </c>
      <c r="S11" s="19" t="e">
        <f>VALUE(SUBSTITUTE(SUBSTITUTE(SUBSTITUTE(SUBSTITUTE('Aqui Planilha'!S11, ".", ""), "-",""), ";", ""), ":", ""))</f>
        <v>#VALUE!</v>
      </c>
      <c r="T11" s="22" t="str">
        <f>SUBSTITUTE(SUBSTITUTE(SUBSTITUTE(SUBSTITUTE('Aqui Planilha'!T11, ".", ""), "-",""), ";", ""), ":", "")</f>
        <v/>
      </c>
      <c r="U11" s="22" t="str">
        <f>SUBSTITUTE(SUBSTITUTE(SUBSTITUTE(SUBSTITUTE('Aqui Planilha'!U11, ".", ""), "-",""), ";", ""), ":", "")</f>
        <v/>
      </c>
      <c r="V11" s="22" t="str">
        <f>SUBSTITUTE(SUBSTITUTE(SUBSTITUTE(SUBSTITUTE('Aqui Planilha'!V11, ".", ""), "-",""), ";", ""), ":", "")</f>
        <v/>
      </c>
      <c r="W11" s="15" t="str">
        <f>SUBSTITUTE(SUBSTITUTE(SUBSTITUTE(SUBSTITUTE('Aqui Planilha'!W11, ".", ""), "-",""), ";", ""), ":", "")</f>
        <v/>
      </c>
    </row>
    <row r="12" spans="1:23">
      <c r="B12" s="16"/>
      <c r="D12" s="17"/>
      <c r="H12" s="18"/>
      <c r="L12" s="19" t="e">
        <f>VALUE(SUBSTITUTE(SUBSTITUTE(SUBSTITUTE(SUBSTITUTE('Aqui Planilha'!L12, ".", ""), "-",""), ";", ""), ":", ""))</f>
        <v>#VALUE!</v>
      </c>
      <c r="M12" s="17"/>
      <c r="N12" s="20"/>
      <c r="Q12" s="21"/>
      <c r="R12" s="12" t="str">
        <f>UPPER(ACENTO('Aqui Planilha'!R12))</f>
        <v/>
      </c>
      <c r="S12" s="19" t="e">
        <f>VALUE(SUBSTITUTE(SUBSTITUTE(SUBSTITUTE(SUBSTITUTE('Aqui Planilha'!S12, ".", ""), "-",""), ";", ""), ":", ""))</f>
        <v>#VALUE!</v>
      </c>
      <c r="T12" s="22" t="str">
        <f>SUBSTITUTE(SUBSTITUTE(SUBSTITUTE(SUBSTITUTE('Aqui Planilha'!T12, ".", ""), "-",""), ";", ""), ":", "")</f>
        <v/>
      </c>
      <c r="U12" s="22" t="str">
        <f>SUBSTITUTE(SUBSTITUTE(SUBSTITUTE(SUBSTITUTE('Aqui Planilha'!U12, ".", ""), "-",""), ";", ""), ":", "")</f>
        <v/>
      </c>
      <c r="V12" s="22" t="str">
        <f>SUBSTITUTE(SUBSTITUTE(SUBSTITUTE(SUBSTITUTE('Aqui Planilha'!V12, ".", ""), "-",""), ";", ""), ":", "")</f>
        <v/>
      </c>
      <c r="W12" s="15" t="str">
        <f>SUBSTITUTE(SUBSTITUTE(SUBSTITUTE(SUBSTITUTE('Aqui Planilha'!W12, ".", ""), "-",""), ";", ""), ":", "")</f>
        <v/>
      </c>
    </row>
    <row r="13" spans="1:23">
      <c r="B13" s="16"/>
      <c r="D13" s="17"/>
      <c r="H13" s="18"/>
      <c r="L13" s="19" t="e">
        <f>VALUE(SUBSTITUTE(SUBSTITUTE(SUBSTITUTE(SUBSTITUTE('Aqui Planilha'!L13, ".", ""), "-",""), ";", ""), ":", ""))</f>
        <v>#VALUE!</v>
      </c>
      <c r="M13" s="17"/>
      <c r="N13" s="20"/>
      <c r="Q13" s="21"/>
      <c r="R13" s="12" t="str">
        <f>UPPER(ACENTO('Aqui Planilha'!R13))</f>
        <v/>
      </c>
      <c r="S13" s="19" t="e">
        <f>VALUE(SUBSTITUTE(SUBSTITUTE(SUBSTITUTE(SUBSTITUTE('Aqui Planilha'!S13, ".", ""), "-",""), ";", ""), ":", ""))</f>
        <v>#VALUE!</v>
      </c>
      <c r="T13" s="22" t="str">
        <f>SUBSTITUTE(SUBSTITUTE(SUBSTITUTE(SUBSTITUTE('Aqui Planilha'!T13, ".", ""), "-",""), ";", ""), ":", "")</f>
        <v/>
      </c>
      <c r="U13" s="22" t="str">
        <f>SUBSTITUTE(SUBSTITUTE(SUBSTITUTE(SUBSTITUTE('Aqui Planilha'!U13, ".", ""), "-",""), ";", ""), ":", "")</f>
        <v/>
      </c>
      <c r="V13" s="22" t="str">
        <f>SUBSTITUTE(SUBSTITUTE(SUBSTITUTE(SUBSTITUTE('Aqui Planilha'!V13, ".", ""), "-",""), ";", ""), ":", "")</f>
        <v/>
      </c>
      <c r="W13" s="15" t="str">
        <f>SUBSTITUTE(SUBSTITUTE(SUBSTITUTE(SUBSTITUTE('Aqui Planilha'!W13, ".", ""), "-",""), ";", ""), ":", "")</f>
        <v/>
      </c>
    </row>
    <row r="14" spans="1:23">
      <c r="B14" s="16"/>
      <c r="D14" s="17"/>
      <c r="H14" s="18"/>
      <c r="L14" s="19" t="e">
        <f>VALUE(SUBSTITUTE(SUBSTITUTE(SUBSTITUTE(SUBSTITUTE('Aqui Planilha'!L14, ".", ""), "-",""), ";", ""), ":", ""))</f>
        <v>#VALUE!</v>
      </c>
      <c r="M14" s="17"/>
      <c r="N14" s="20"/>
      <c r="Q14" s="21"/>
      <c r="R14" s="12" t="str">
        <f>UPPER(ACENTO('Aqui Planilha'!R14))</f>
        <v/>
      </c>
      <c r="S14" s="19" t="e">
        <f>VALUE(SUBSTITUTE(SUBSTITUTE(SUBSTITUTE(SUBSTITUTE('Aqui Planilha'!S14, ".", ""), "-",""), ";", ""), ":", ""))</f>
        <v>#VALUE!</v>
      </c>
      <c r="T14" s="22" t="str">
        <f>SUBSTITUTE(SUBSTITUTE(SUBSTITUTE(SUBSTITUTE('Aqui Planilha'!T14, ".", ""), "-",""), ";", ""), ":", "")</f>
        <v/>
      </c>
      <c r="U14" s="22" t="str">
        <f>SUBSTITUTE(SUBSTITUTE(SUBSTITUTE(SUBSTITUTE('Aqui Planilha'!U14, ".", ""), "-",""), ";", ""), ":", "")</f>
        <v/>
      </c>
      <c r="V14" s="22" t="str">
        <f>SUBSTITUTE(SUBSTITUTE(SUBSTITUTE(SUBSTITUTE('Aqui Planilha'!V14, ".", ""), "-",""), ";", ""), ":", "")</f>
        <v/>
      </c>
      <c r="W14" s="15" t="str">
        <f>SUBSTITUTE(SUBSTITUTE(SUBSTITUTE(SUBSTITUTE('Aqui Planilha'!W14, ".", ""), "-",""), ";", ""), ":", "")</f>
        <v/>
      </c>
    </row>
    <row r="15" spans="1:23">
      <c r="B15" s="16"/>
      <c r="D15" s="17"/>
      <c r="H15" s="18"/>
      <c r="L15" s="19" t="e">
        <f>VALUE(SUBSTITUTE(SUBSTITUTE(SUBSTITUTE(SUBSTITUTE('Aqui Planilha'!L15, ".", ""), "-",""), ";", ""), ":", ""))</f>
        <v>#VALUE!</v>
      </c>
      <c r="M15" s="17"/>
      <c r="N15" s="20"/>
      <c r="Q15" s="21"/>
      <c r="R15" s="12" t="str">
        <f>UPPER(ACENTO('Aqui Planilha'!R15))</f>
        <v/>
      </c>
      <c r="S15" s="19" t="e">
        <f>VALUE(SUBSTITUTE(SUBSTITUTE(SUBSTITUTE(SUBSTITUTE('Aqui Planilha'!S15, ".", ""), "-",""), ";", ""), ":", ""))</f>
        <v>#VALUE!</v>
      </c>
      <c r="T15" s="22" t="str">
        <f>SUBSTITUTE(SUBSTITUTE(SUBSTITUTE(SUBSTITUTE('Aqui Planilha'!T15, ".", ""), "-",""), ";", ""), ":", "")</f>
        <v/>
      </c>
      <c r="U15" s="22" t="str">
        <f>SUBSTITUTE(SUBSTITUTE(SUBSTITUTE(SUBSTITUTE('Aqui Planilha'!U15, ".", ""), "-",""), ";", ""), ":", "")</f>
        <v/>
      </c>
      <c r="V15" s="22" t="str">
        <f>SUBSTITUTE(SUBSTITUTE(SUBSTITUTE(SUBSTITUTE('Aqui Planilha'!V15, ".", ""), "-",""), ";", ""), ":", "")</f>
        <v/>
      </c>
      <c r="W15" s="15" t="str">
        <f>SUBSTITUTE(SUBSTITUTE(SUBSTITUTE(SUBSTITUTE('Aqui Planilha'!W15, ".", ""), "-",""), ";", ""), ":", "")</f>
        <v/>
      </c>
    </row>
    <row r="16" spans="1:23">
      <c r="B16" s="16"/>
      <c r="D16" s="17"/>
      <c r="H16" s="18"/>
      <c r="L16" s="19" t="e">
        <f>VALUE(SUBSTITUTE(SUBSTITUTE(SUBSTITUTE(SUBSTITUTE('Aqui Planilha'!L16, ".", ""), "-",""), ";", ""), ":", ""))</f>
        <v>#VALUE!</v>
      </c>
      <c r="M16" s="17"/>
      <c r="N16" s="20"/>
      <c r="Q16" s="21"/>
      <c r="R16" s="12" t="str">
        <f>UPPER(ACENTO('Aqui Planilha'!R16))</f>
        <v/>
      </c>
      <c r="S16" s="19" t="e">
        <f>VALUE(SUBSTITUTE(SUBSTITUTE(SUBSTITUTE(SUBSTITUTE('Aqui Planilha'!S16, ".", ""), "-",""), ";", ""), ":", ""))</f>
        <v>#VALUE!</v>
      </c>
      <c r="T16" s="22" t="str">
        <f>SUBSTITUTE(SUBSTITUTE(SUBSTITUTE(SUBSTITUTE('Aqui Planilha'!T16, ".", ""), "-",""), ";", ""), ":", "")</f>
        <v/>
      </c>
      <c r="U16" s="22" t="str">
        <f>SUBSTITUTE(SUBSTITUTE(SUBSTITUTE(SUBSTITUTE('Aqui Planilha'!U16, ".", ""), "-",""), ";", ""), ":", "")</f>
        <v/>
      </c>
      <c r="V16" s="22" t="str">
        <f>SUBSTITUTE(SUBSTITUTE(SUBSTITUTE(SUBSTITUTE('Aqui Planilha'!V16, ".", ""), "-",""), ";", ""), ":", "")</f>
        <v/>
      </c>
      <c r="W16" s="15" t="str">
        <f>SUBSTITUTE(SUBSTITUTE(SUBSTITUTE(SUBSTITUTE('Aqui Planilha'!W16, ".", ""), "-",""), ";", ""), ":", "")</f>
        <v/>
      </c>
    </row>
    <row r="17" spans="2:23">
      <c r="B17" s="16"/>
      <c r="D17" s="17"/>
      <c r="H17" s="18"/>
      <c r="L17" s="19" t="e">
        <f>VALUE(SUBSTITUTE(SUBSTITUTE(SUBSTITUTE(SUBSTITUTE('Aqui Planilha'!L17, ".", ""), "-",""), ";", ""), ":", ""))</f>
        <v>#VALUE!</v>
      </c>
      <c r="M17" s="17"/>
      <c r="N17" s="20"/>
      <c r="Q17" s="21"/>
      <c r="R17" s="12" t="str">
        <f>UPPER(ACENTO('Aqui Planilha'!R17))</f>
        <v/>
      </c>
      <c r="S17" s="19" t="e">
        <f>VALUE(SUBSTITUTE(SUBSTITUTE(SUBSTITUTE(SUBSTITUTE('Aqui Planilha'!S17, ".", ""), "-",""), ";", ""), ":", ""))</f>
        <v>#VALUE!</v>
      </c>
      <c r="T17" s="22" t="str">
        <f>SUBSTITUTE(SUBSTITUTE(SUBSTITUTE(SUBSTITUTE('Aqui Planilha'!T17, ".", ""), "-",""), ";", ""), ":", "")</f>
        <v/>
      </c>
      <c r="U17" s="22" t="str">
        <f>SUBSTITUTE(SUBSTITUTE(SUBSTITUTE(SUBSTITUTE('Aqui Planilha'!U17, ".", ""), "-",""), ";", ""), ":", "")</f>
        <v/>
      </c>
      <c r="V17" s="22" t="str">
        <f>SUBSTITUTE(SUBSTITUTE(SUBSTITUTE(SUBSTITUTE('Aqui Planilha'!V17, ".", ""), "-",""), ";", ""), ":", "")</f>
        <v/>
      </c>
      <c r="W17" s="15" t="str">
        <f>SUBSTITUTE(SUBSTITUTE(SUBSTITUTE(SUBSTITUTE('Aqui Planilha'!W17, ".", ""), "-",""), ";", ""), ":", "")</f>
        <v/>
      </c>
    </row>
    <row r="18" spans="2:23">
      <c r="B18" s="16"/>
      <c r="D18" s="17"/>
      <c r="H18" s="18"/>
      <c r="L18" s="19" t="e">
        <f>VALUE(SUBSTITUTE(SUBSTITUTE(SUBSTITUTE(SUBSTITUTE('Aqui Planilha'!L18, ".", ""), "-",""), ";", ""), ":", ""))</f>
        <v>#VALUE!</v>
      </c>
      <c r="M18" s="17"/>
      <c r="N18" s="20"/>
      <c r="Q18" s="21"/>
      <c r="R18" s="12" t="str">
        <f>UPPER(ACENTO('Aqui Planilha'!R18))</f>
        <v/>
      </c>
      <c r="S18" s="19" t="e">
        <f>VALUE(SUBSTITUTE(SUBSTITUTE(SUBSTITUTE(SUBSTITUTE('Aqui Planilha'!S18, ".", ""), "-",""), ";", ""), ":", ""))</f>
        <v>#VALUE!</v>
      </c>
      <c r="T18" s="22" t="str">
        <f>SUBSTITUTE(SUBSTITUTE(SUBSTITUTE(SUBSTITUTE('Aqui Planilha'!T18, ".", ""), "-",""), ";", ""), ":", "")</f>
        <v/>
      </c>
      <c r="U18" s="22" t="str">
        <f>SUBSTITUTE(SUBSTITUTE(SUBSTITUTE(SUBSTITUTE('Aqui Planilha'!U18, ".", ""), "-",""), ";", ""), ":", "")</f>
        <v/>
      </c>
      <c r="V18" s="22" t="str">
        <f>SUBSTITUTE(SUBSTITUTE(SUBSTITUTE(SUBSTITUTE('Aqui Planilha'!V18, ".", ""), "-",""), ";", ""), ":", "")</f>
        <v/>
      </c>
      <c r="W18" s="15" t="str">
        <f>SUBSTITUTE(SUBSTITUTE(SUBSTITUTE(SUBSTITUTE('Aqui Planilha'!W18, ".", ""), "-",""), ";", ""), ":", "")</f>
        <v/>
      </c>
    </row>
    <row r="19" spans="2:23">
      <c r="B19" s="16"/>
      <c r="D19" s="17"/>
      <c r="H19" s="18"/>
      <c r="L19" s="19" t="e">
        <f>VALUE(SUBSTITUTE(SUBSTITUTE(SUBSTITUTE(SUBSTITUTE('Aqui Planilha'!L19, ".", ""), "-",""), ";", ""), ":", ""))</f>
        <v>#VALUE!</v>
      </c>
      <c r="M19" s="17"/>
      <c r="N19" s="20"/>
      <c r="Q19" s="21"/>
      <c r="R19" s="12" t="str">
        <f>UPPER(ACENTO('Aqui Planilha'!R19))</f>
        <v/>
      </c>
      <c r="S19" s="19" t="e">
        <f>VALUE(SUBSTITUTE(SUBSTITUTE(SUBSTITUTE(SUBSTITUTE('Aqui Planilha'!S19, ".", ""), "-",""), ";", ""), ":", ""))</f>
        <v>#VALUE!</v>
      </c>
      <c r="T19" s="22" t="str">
        <f>SUBSTITUTE(SUBSTITUTE(SUBSTITUTE(SUBSTITUTE('Aqui Planilha'!T19, ".", ""), "-",""), ";", ""), ":", "")</f>
        <v/>
      </c>
      <c r="U19" s="22" t="str">
        <f>SUBSTITUTE(SUBSTITUTE(SUBSTITUTE(SUBSTITUTE('Aqui Planilha'!U19, ".", ""), "-",""), ";", ""), ":", "")</f>
        <v/>
      </c>
      <c r="V19" s="22" t="str">
        <f>SUBSTITUTE(SUBSTITUTE(SUBSTITUTE(SUBSTITUTE('Aqui Planilha'!V19, ".", ""), "-",""), ";", ""), ":", "")</f>
        <v/>
      </c>
      <c r="W19" s="15" t="str">
        <f>SUBSTITUTE(SUBSTITUTE(SUBSTITUTE(SUBSTITUTE('Aqui Planilha'!W19, ".", ""), "-",""), ";", ""), ":", "")</f>
        <v/>
      </c>
    </row>
    <row r="20" spans="2:23">
      <c r="B20" s="16"/>
      <c r="D20" s="17"/>
      <c r="H20" s="18"/>
      <c r="L20" s="19" t="e">
        <f>VALUE(SUBSTITUTE(SUBSTITUTE(SUBSTITUTE(SUBSTITUTE('Aqui Planilha'!L20, ".", ""), "-",""), ";", ""), ":", ""))</f>
        <v>#VALUE!</v>
      </c>
      <c r="M20" s="17"/>
      <c r="N20" s="20"/>
      <c r="Q20" s="21"/>
      <c r="R20" s="12" t="str">
        <f>UPPER(ACENTO('Aqui Planilha'!R20))</f>
        <v/>
      </c>
      <c r="S20" s="19" t="e">
        <f>VALUE(SUBSTITUTE(SUBSTITUTE(SUBSTITUTE(SUBSTITUTE('Aqui Planilha'!S20, ".", ""), "-",""), ";", ""), ":", ""))</f>
        <v>#VALUE!</v>
      </c>
      <c r="T20" s="22" t="str">
        <f>SUBSTITUTE(SUBSTITUTE(SUBSTITUTE(SUBSTITUTE('Aqui Planilha'!T20, ".", ""), "-",""), ";", ""), ":", "")</f>
        <v/>
      </c>
      <c r="U20" s="22" t="str">
        <f>SUBSTITUTE(SUBSTITUTE(SUBSTITUTE(SUBSTITUTE('Aqui Planilha'!U20, ".", ""), "-",""), ";", ""), ":", "")</f>
        <v/>
      </c>
      <c r="V20" s="22" t="str">
        <f>SUBSTITUTE(SUBSTITUTE(SUBSTITUTE(SUBSTITUTE('Aqui Planilha'!V20, ".", ""), "-",""), ";", ""), ":", "")</f>
        <v/>
      </c>
      <c r="W20" s="15" t="str">
        <f>SUBSTITUTE(SUBSTITUTE(SUBSTITUTE(SUBSTITUTE('Aqui Planilha'!W20, ".", ""), "-",""), ";", ""), ":", "")</f>
        <v/>
      </c>
    </row>
    <row r="21" spans="2:23">
      <c r="B21" s="16"/>
      <c r="D21" s="17"/>
      <c r="H21" s="18"/>
      <c r="L21" s="19" t="e">
        <f>VALUE(SUBSTITUTE(SUBSTITUTE(SUBSTITUTE(SUBSTITUTE('Aqui Planilha'!L21, ".", ""), "-",""), ";", ""), ":", ""))</f>
        <v>#VALUE!</v>
      </c>
      <c r="M21" s="17"/>
      <c r="N21" s="20"/>
      <c r="Q21" s="21"/>
      <c r="R21" s="12" t="str">
        <f>UPPER(ACENTO('Aqui Planilha'!R21))</f>
        <v/>
      </c>
      <c r="S21" s="19" t="e">
        <f>VALUE(SUBSTITUTE(SUBSTITUTE(SUBSTITUTE(SUBSTITUTE('Aqui Planilha'!S21, ".", ""), "-",""), ";", ""), ":", ""))</f>
        <v>#VALUE!</v>
      </c>
      <c r="T21" s="22" t="str">
        <f>SUBSTITUTE(SUBSTITUTE(SUBSTITUTE(SUBSTITUTE('Aqui Planilha'!T21, ".", ""), "-",""), ";", ""), ":", "")</f>
        <v/>
      </c>
      <c r="U21" s="22" t="str">
        <f>SUBSTITUTE(SUBSTITUTE(SUBSTITUTE(SUBSTITUTE('Aqui Planilha'!U21, ".", ""), "-",""), ";", ""), ":", "")</f>
        <v/>
      </c>
      <c r="V21" s="22" t="str">
        <f>SUBSTITUTE(SUBSTITUTE(SUBSTITUTE(SUBSTITUTE('Aqui Planilha'!V21, ".", ""), "-",""), ";", ""), ":", "")</f>
        <v/>
      </c>
      <c r="W21" s="15" t="str">
        <f>SUBSTITUTE(SUBSTITUTE(SUBSTITUTE(SUBSTITUTE('Aqui Planilha'!W21, ".", ""), "-",""), ";", ""), ":", "")</f>
        <v/>
      </c>
    </row>
    <row r="22" spans="2:23">
      <c r="B22" s="16"/>
      <c r="D22" s="17"/>
      <c r="H22" s="18"/>
      <c r="L22" s="19" t="e">
        <f>VALUE(SUBSTITUTE(SUBSTITUTE(SUBSTITUTE(SUBSTITUTE('Aqui Planilha'!L22, ".", ""), "-",""), ";", ""), ":", ""))</f>
        <v>#VALUE!</v>
      </c>
      <c r="M22" s="17"/>
      <c r="N22" s="20"/>
      <c r="Q22" s="21"/>
      <c r="R22" s="12" t="str">
        <f>UPPER(ACENTO('Aqui Planilha'!R22))</f>
        <v/>
      </c>
      <c r="S22" s="19" t="e">
        <f>VALUE(SUBSTITUTE(SUBSTITUTE(SUBSTITUTE(SUBSTITUTE('Aqui Planilha'!S22, ".", ""), "-",""), ";", ""), ":", ""))</f>
        <v>#VALUE!</v>
      </c>
      <c r="T22" s="22" t="str">
        <f>SUBSTITUTE(SUBSTITUTE(SUBSTITUTE(SUBSTITUTE('Aqui Planilha'!T22, ".", ""), "-",""), ";", ""), ":", "")</f>
        <v/>
      </c>
      <c r="U22" s="22" t="str">
        <f>SUBSTITUTE(SUBSTITUTE(SUBSTITUTE(SUBSTITUTE('Aqui Planilha'!U22, ".", ""), "-",""), ";", ""), ":", "")</f>
        <v/>
      </c>
      <c r="V22" s="22" t="str">
        <f>SUBSTITUTE(SUBSTITUTE(SUBSTITUTE(SUBSTITUTE('Aqui Planilha'!V22, ".", ""), "-",""), ";", ""), ":", "")</f>
        <v/>
      </c>
      <c r="W22" s="15" t="str">
        <f>SUBSTITUTE(SUBSTITUTE(SUBSTITUTE(SUBSTITUTE('Aqui Planilha'!W22, ".", ""), "-",""), ";", ""), ":", "")</f>
        <v/>
      </c>
    </row>
    <row r="23" spans="2:23">
      <c r="B23" s="16"/>
      <c r="D23" s="17"/>
      <c r="H23" s="18"/>
      <c r="L23" s="19" t="e">
        <f>VALUE(SUBSTITUTE(SUBSTITUTE(SUBSTITUTE(SUBSTITUTE('Aqui Planilha'!L23, ".", ""), "-",""), ";", ""), ":", ""))</f>
        <v>#VALUE!</v>
      </c>
      <c r="M23" s="17"/>
      <c r="N23" s="20"/>
      <c r="Q23" s="21"/>
      <c r="R23" s="12" t="str">
        <f>UPPER(ACENTO('Aqui Planilha'!R23))</f>
        <v/>
      </c>
      <c r="S23" s="19" t="e">
        <f>VALUE(SUBSTITUTE(SUBSTITUTE(SUBSTITUTE(SUBSTITUTE('Aqui Planilha'!S23, ".", ""), "-",""), ";", ""), ":", ""))</f>
        <v>#VALUE!</v>
      </c>
      <c r="T23" s="22" t="str">
        <f>SUBSTITUTE(SUBSTITUTE(SUBSTITUTE(SUBSTITUTE('Aqui Planilha'!T23, ".", ""), "-",""), ";", ""), ":", "")</f>
        <v/>
      </c>
      <c r="U23" s="22" t="str">
        <f>SUBSTITUTE(SUBSTITUTE(SUBSTITUTE(SUBSTITUTE('Aqui Planilha'!U23, ".", ""), "-",""), ";", ""), ":", "")</f>
        <v/>
      </c>
      <c r="V23" s="22" t="str">
        <f>SUBSTITUTE(SUBSTITUTE(SUBSTITUTE(SUBSTITUTE('Aqui Planilha'!V23, ".", ""), "-",""), ";", ""), ":", "")</f>
        <v/>
      </c>
      <c r="W23" s="15" t="str">
        <f>SUBSTITUTE(SUBSTITUTE(SUBSTITUTE(SUBSTITUTE('Aqui Planilha'!W23, ".", ""), "-",""), ";", ""), ":", "")</f>
        <v/>
      </c>
    </row>
    <row r="24" spans="2:23">
      <c r="B24" s="16"/>
      <c r="D24" s="17"/>
      <c r="H24" s="18"/>
      <c r="L24" s="19" t="e">
        <f>VALUE(SUBSTITUTE(SUBSTITUTE(SUBSTITUTE(SUBSTITUTE('Aqui Planilha'!L24, ".", ""), "-",""), ";", ""), ":", ""))</f>
        <v>#VALUE!</v>
      </c>
      <c r="M24" s="17"/>
      <c r="N24" s="20"/>
      <c r="Q24" s="21"/>
      <c r="R24" s="12" t="str">
        <f>UPPER(ACENTO('Aqui Planilha'!R24))</f>
        <v/>
      </c>
      <c r="S24" s="19" t="e">
        <f>VALUE(SUBSTITUTE(SUBSTITUTE(SUBSTITUTE(SUBSTITUTE('Aqui Planilha'!S24, ".", ""), "-",""), ";", ""), ":", ""))</f>
        <v>#VALUE!</v>
      </c>
      <c r="T24" s="22" t="str">
        <f>SUBSTITUTE(SUBSTITUTE(SUBSTITUTE(SUBSTITUTE('Aqui Planilha'!T24, ".", ""), "-",""), ";", ""), ":", "")</f>
        <v/>
      </c>
      <c r="U24" s="22" t="str">
        <f>SUBSTITUTE(SUBSTITUTE(SUBSTITUTE(SUBSTITUTE('Aqui Planilha'!U24, ".", ""), "-",""), ";", ""), ":", "")</f>
        <v/>
      </c>
      <c r="V24" s="22" t="str">
        <f>SUBSTITUTE(SUBSTITUTE(SUBSTITUTE(SUBSTITUTE('Aqui Planilha'!V24, ".", ""), "-",""), ";", ""), ":", "")</f>
        <v/>
      </c>
      <c r="W24" s="15" t="str">
        <f>SUBSTITUTE(SUBSTITUTE(SUBSTITUTE(SUBSTITUTE('Aqui Planilha'!W24, ".", ""), "-",""), ";", ""), ":", "")</f>
        <v/>
      </c>
    </row>
    <row r="25" spans="2:23">
      <c r="B25" s="16"/>
      <c r="D25" s="17"/>
      <c r="H25" s="18"/>
      <c r="L25" s="19" t="e">
        <f>VALUE(SUBSTITUTE(SUBSTITUTE(SUBSTITUTE(SUBSTITUTE('Aqui Planilha'!L25, ".", ""), "-",""), ";", ""), ":", ""))</f>
        <v>#VALUE!</v>
      </c>
      <c r="M25" s="17"/>
      <c r="N25" s="20"/>
      <c r="Q25" s="21"/>
      <c r="R25" s="12" t="str">
        <f>UPPER(ACENTO('Aqui Planilha'!R25))</f>
        <v/>
      </c>
      <c r="S25" s="19" t="e">
        <f>VALUE(SUBSTITUTE(SUBSTITUTE(SUBSTITUTE(SUBSTITUTE('Aqui Planilha'!S25, ".", ""), "-",""), ";", ""), ":", ""))</f>
        <v>#VALUE!</v>
      </c>
      <c r="T25" s="22" t="str">
        <f>SUBSTITUTE(SUBSTITUTE(SUBSTITUTE(SUBSTITUTE('Aqui Planilha'!T25, ".", ""), "-",""), ";", ""), ":", "")</f>
        <v/>
      </c>
      <c r="U25" s="22" t="str">
        <f>SUBSTITUTE(SUBSTITUTE(SUBSTITUTE(SUBSTITUTE('Aqui Planilha'!U25, ".", ""), "-",""), ";", ""), ":", "")</f>
        <v/>
      </c>
      <c r="V25" s="22" t="str">
        <f>SUBSTITUTE(SUBSTITUTE(SUBSTITUTE(SUBSTITUTE('Aqui Planilha'!V25, ".", ""), "-",""), ";", ""), ":", "")</f>
        <v/>
      </c>
      <c r="W25" s="15" t="str">
        <f>SUBSTITUTE(SUBSTITUTE(SUBSTITUTE(SUBSTITUTE('Aqui Planilha'!W25, ".", ""), "-",""), ";", ""), ":", "")</f>
        <v/>
      </c>
    </row>
    <row r="26" spans="2:23">
      <c r="B26" s="16"/>
      <c r="D26" s="17"/>
      <c r="H26" s="18"/>
      <c r="L26" s="19" t="e">
        <f>VALUE(SUBSTITUTE(SUBSTITUTE(SUBSTITUTE(SUBSTITUTE('Aqui Planilha'!L26, ".", ""), "-",""), ";", ""), ":", ""))</f>
        <v>#VALUE!</v>
      </c>
      <c r="M26" s="17"/>
      <c r="N26" s="20"/>
      <c r="Q26" s="21"/>
      <c r="R26" s="12" t="str">
        <f>UPPER(ACENTO('Aqui Planilha'!R26))</f>
        <v/>
      </c>
      <c r="S26" s="19" t="e">
        <f>VALUE(SUBSTITUTE(SUBSTITUTE(SUBSTITUTE(SUBSTITUTE('Aqui Planilha'!S26, ".", ""), "-",""), ";", ""), ":", ""))</f>
        <v>#VALUE!</v>
      </c>
      <c r="T26" s="22" t="str">
        <f>SUBSTITUTE(SUBSTITUTE(SUBSTITUTE(SUBSTITUTE('Aqui Planilha'!T26, ".", ""), "-",""), ";", ""), ":", "")</f>
        <v/>
      </c>
      <c r="U26" s="22" t="str">
        <f>SUBSTITUTE(SUBSTITUTE(SUBSTITUTE(SUBSTITUTE('Aqui Planilha'!U26, ".", ""), "-",""), ";", ""), ":", "")</f>
        <v/>
      </c>
      <c r="V26" s="22" t="str">
        <f>SUBSTITUTE(SUBSTITUTE(SUBSTITUTE(SUBSTITUTE('Aqui Planilha'!V26, ".", ""), "-",""), ";", ""), ":", "")</f>
        <v/>
      </c>
      <c r="W26" s="15" t="str">
        <f>SUBSTITUTE(SUBSTITUTE(SUBSTITUTE(SUBSTITUTE('Aqui Planilha'!W26, ".", ""), "-",""), ";", ""), ":", "")</f>
        <v/>
      </c>
    </row>
    <row r="27" spans="2:23">
      <c r="B27" s="16"/>
      <c r="D27" s="17"/>
      <c r="H27" s="18"/>
      <c r="L27" s="19" t="e">
        <f>VALUE(SUBSTITUTE(SUBSTITUTE(SUBSTITUTE(SUBSTITUTE('Aqui Planilha'!L27, ".", ""), "-",""), ";", ""), ":", ""))</f>
        <v>#VALUE!</v>
      </c>
      <c r="M27" s="17"/>
      <c r="N27" s="20"/>
      <c r="Q27" s="21"/>
      <c r="R27" s="12" t="str">
        <f>UPPER(ACENTO('Aqui Planilha'!R27))</f>
        <v/>
      </c>
      <c r="S27" s="19" t="e">
        <f>VALUE(SUBSTITUTE(SUBSTITUTE(SUBSTITUTE(SUBSTITUTE('Aqui Planilha'!S27, ".", ""), "-",""), ";", ""), ":", ""))</f>
        <v>#VALUE!</v>
      </c>
      <c r="T27" s="22" t="str">
        <f>SUBSTITUTE(SUBSTITUTE(SUBSTITUTE(SUBSTITUTE('Aqui Planilha'!T27, ".", ""), "-",""), ";", ""), ":", "")</f>
        <v/>
      </c>
      <c r="U27" s="22" t="str">
        <f>SUBSTITUTE(SUBSTITUTE(SUBSTITUTE(SUBSTITUTE('Aqui Planilha'!U27, ".", ""), "-",""), ";", ""), ":", "")</f>
        <v/>
      </c>
      <c r="V27" s="22" t="str">
        <f>SUBSTITUTE(SUBSTITUTE(SUBSTITUTE(SUBSTITUTE('Aqui Planilha'!V27, ".", ""), "-",""), ";", ""), ":", "")</f>
        <v/>
      </c>
      <c r="W27" s="15" t="str">
        <f>SUBSTITUTE(SUBSTITUTE(SUBSTITUTE(SUBSTITUTE('Aqui Planilha'!W27, ".", ""), "-",""), ";", ""), ":", "")</f>
        <v/>
      </c>
    </row>
    <row r="28" spans="2:23">
      <c r="B28" s="16"/>
      <c r="D28" s="17"/>
      <c r="H28" s="18"/>
      <c r="L28" s="19" t="e">
        <f>VALUE(SUBSTITUTE(SUBSTITUTE(SUBSTITUTE(SUBSTITUTE('Aqui Planilha'!L28, ".", ""), "-",""), ";", ""), ":", ""))</f>
        <v>#VALUE!</v>
      </c>
      <c r="M28" s="17"/>
      <c r="N28" s="20"/>
      <c r="Q28" s="21"/>
      <c r="R28" s="12" t="str">
        <f>UPPER(ACENTO('Aqui Planilha'!R28))</f>
        <v/>
      </c>
      <c r="S28" s="19" t="e">
        <f>VALUE(SUBSTITUTE(SUBSTITUTE(SUBSTITUTE(SUBSTITUTE('Aqui Planilha'!S28, ".", ""), "-",""), ";", ""), ":", ""))</f>
        <v>#VALUE!</v>
      </c>
      <c r="T28" s="22" t="str">
        <f>SUBSTITUTE(SUBSTITUTE(SUBSTITUTE(SUBSTITUTE('Aqui Planilha'!T28, ".", ""), "-",""), ";", ""), ":", "")</f>
        <v/>
      </c>
      <c r="U28" s="22" t="str">
        <f>SUBSTITUTE(SUBSTITUTE(SUBSTITUTE(SUBSTITUTE('Aqui Planilha'!U28, ".", ""), "-",""), ";", ""), ":", "")</f>
        <v/>
      </c>
      <c r="V28" s="22" t="str">
        <f>SUBSTITUTE(SUBSTITUTE(SUBSTITUTE(SUBSTITUTE('Aqui Planilha'!V28, ".", ""), "-",""), ";", ""), ":", "")</f>
        <v/>
      </c>
      <c r="W28" s="15" t="str">
        <f>SUBSTITUTE(SUBSTITUTE(SUBSTITUTE(SUBSTITUTE('Aqui Planilha'!W28, ".", ""), "-",""), ";", ""), ":", "")</f>
        <v/>
      </c>
    </row>
    <row r="29" spans="2:23">
      <c r="B29" s="16"/>
      <c r="D29" s="17"/>
      <c r="H29" s="18"/>
      <c r="L29" s="19" t="e">
        <f>VALUE(SUBSTITUTE(SUBSTITUTE(SUBSTITUTE(SUBSTITUTE('Aqui Planilha'!L29, ".", ""), "-",""), ";", ""), ":", ""))</f>
        <v>#VALUE!</v>
      </c>
      <c r="M29" s="17"/>
      <c r="N29" s="20"/>
      <c r="Q29" s="21"/>
      <c r="R29" s="12" t="str">
        <f>UPPER(ACENTO('Aqui Planilha'!R29))</f>
        <v/>
      </c>
      <c r="S29" s="19" t="e">
        <f>VALUE(SUBSTITUTE(SUBSTITUTE(SUBSTITUTE(SUBSTITUTE('Aqui Planilha'!S29, ".", ""), "-",""), ";", ""), ":", ""))</f>
        <v>#VALUE!</v>
      </c>
      <c r="T29" s="22" t="str">
        <f>SUBSTITUTE(SUBSTITUTE(SUBSTITUTE(SUBSTITUTE('Aqui Planilha'!T29, ".", ""), "-",""), ";", ""), ":", "")</f>
        <v/>
      </c>
      <c r="U29" s="22" t="str">
        <f>SUBSTITUTE(SUBSTITUTE(SUBSTITUTE(SUBSTITUTE('Aqui Planilha'!U29, ".", ""), "-",""), ";", ""), ":", "")</f>
        <v/>
      </c>
      <c r="V29" s="22" t="str">
        <f>SUBSTITUTE(SUBSTITUTE(SUBSTITUTE(SUBSTITUTE('Aqui Planilha'!V29, ".", ""), "-",""), ";", ""), ":", "")</f>
        <v/>
      </c>
      <c r="W29" s="15" t="str">
        <f>SUBSTITUTE(SUBSTITUTE(SUBSTITUTE(SUBSTITUTE('Aqui Planilha'!W29, ".", ""), "-",""), ";", ""), ":", "")</f>
        <v/>
      </c>
    </row>
    <row r="30" spans="2:23">
      <c r="B30" s="16"/>
      <c r="D30" s="17"/>
      <c r="H30" s="18"/>
      <c r="L30" s="19" t="e">
        <f>VALUE(SUBSTITUTE(SUBSTITUTE(SUBSTITUTE(SUBSTITUTE('Aqui Planilha'!L30, ".", ""), "-",""), ";", ""), ":", ""))</f>
        <v>#VALUE!</v>
      </c>
      <c r="M30" s="17"/>
      <c r="N30" s="20"/>
      <c r="Q30" s="21"/>
      <c r="R30" s="12" t="str">
        <f>UPPER(ACENTO('Aqui Planilha'!R30))</f>
        <v/>
      </c>
      <c r="S30" s="19" t="e">
        <f>VALUE(SUBSTITUTE(SUBSTITUTE(SUBSTITUTE(SUBSTITUTE('Aqui Planilha'!S30, ".", ""), "-",""), ";", ""), ":", ""))</f>
        <v>#VALUE!</v>
      </c>
      <c r="T30" s="22" t="str">
        <f>SUBSTITUTE(SUBSTITUTE(SUBSTITUTE(SUBSTITUTE('Aqui Planilha'!T30, ".", ""), "-",""), ";", ""), ":", "")</f>
        <v/>
      </c>
      <c r="U30" s="22" t="str">
        <f>SUBSTITUTE(SUBSTITUTE(SUBSTITUTE(SUBSTITUTE('Aqui Planilha'!U30, ".", ""), "-",""), ";", ""), ":", "")</f>
        <v/>
      </c>
      <c r="V30" s="22" t="str">
        <f>SUBSTITUTE(SUBSTITUTE(SUBSTITUTE(SUBSTITUTE('Aqui Planilha'!V30, ".", ""), "-",""), ";", ""), ":", "")</f>
        <v/>
      </c>
      <c r="W30" s="15" t="str">
        <f>SUBSTITUTE(SUBSTITUTE(SUBSTITUTE(SUBSTITUTE('Aqui Planilha'!W30, ".", ""), "-",""), ";", ""), ":", "")</f>
        <v/>
      </c>
    </row>
    <row r="31" spans="2:23">
      <c r="B31" s="16"/>
      <c r="D31" s="17"/>
      <c r="H31" s="18"/>
      <c r="L31" s="19" t="e">
        <f>VALUE(SUBSTITUTE(SUBSTITUTE(SUBSTITUTE(SUBSTITUTE('Aqui Planilha'!L31, ".", ""), "-",""), ";", ""), ":", ""))</f>
        <v>#VALUE!</v>
      </c>
      <c r="M31" s="17"/>
      <c r="N31" s="20"/>
      <c r="Q31" s="21"/>
      <c r="R31" s="12" t="str">
        <f>UPPER(ACENTO('Aqui Planilha'!R31))</f>
        <v/>
      </c>
      <c r="S31" s="19" t="e">
        <f>VALUE(SUBSTITUTE(SUBSTITUTE(SUBSTITUTE(SUBSTITUTE('Aqui Planilha'!S31, ".", ""), "-",""), ";", ""), ":", ""))</f>
        <v>#VALUE!</v>
      </c>
      <c r="T31" s="22" t="str">
        <f>SUBSTITUTE(SUBSTITUTE(SUBSTITUTE(SUBSTITUTE('Aqui Planilha'!T31, ".", ""), "-",""), ";", ""), ":", "")</f>
        <v/>
      </c>
      <c r="U31" s="22" t="str">
        <f>SUBSTITUTE(SUBSTITUTE(SUBSTITUTE(SUBSTITUTE('Aqui Planilha'!U31, ".", ""), "-",""), ";", ""), ":", "")</f>
        <v/>
      </c>
      <c r="V31" s="22" t="str">
        <f>SUBSTITUTE(SUBSTITUTE(SUBSTITUTE(SUBSTITUTE('Aqui Planilha'!V31, ".", ""), "-",""), ";", ""), ":", "")</f>
        <v/>
      </c>
      <c r="W31" s="15" t="str">
        <f>SUBSTITUTE(SUBSTITUTE(SUBSTITUTE(SUBSTITUTE('Aqui Planilha'!W31, ".", ""), "-",""), ";", ""), ":", "")</f>
        <v/>
      </c>
    </row>
    <row r="32" spans="2:23">
      <c r="B32" s="16"/>
      <c r="D32" s="17"/>
      <c r="H32" s="18"/>
      <c r="L32" s="19" t="e">
        <f>VALUE(SUBSTITUTE(SUBSTITUTE(SUBSTITUTE(SUBSTITUTE('Aqui Planilha'!L32, ".", ""), "-",""), ";", ""), ":", ""))</f>
        <v>#VALUE!</v>
      </c>
      <c r="M32" s="17"/>
      <c r="N32" s="20"/>
      <c r="Q32" s="21"/>
      <c r="R32" s="12" t="str">
        <f>UPPER(ACENTO('Aqui Planilha'!R32))</f>
        <v/>
      </c>
      <c r="S32" s="19" t="e">
        <f>VALUE(SUBSTITUTE(SUBSTITUTE(SUBSTITUTE(SUBSTITUTE('Aqui Planilha'!S32, ".", ""), "-",""), ";", ""), ":", ""))</f>
        <v>#VALUE!</v>
      </c>
      <c r="T32" s="22" t="str">
        <f>SUBSTITUTE(SUBSTITUTE(SUBSTITUTE(SUBSTITUTE('Aqui Planilha'!T32, ".", ""), "-",""), ";", ""), ":", "")</f>
        <v/>
      </c>
      <c r="U32" s="22" t="str">
        <f>SUBSTITUTE(SUBSTITUTE(SUBSTITUTE(SUBSTITUTE('Aqui Planilha'!U32, ".", ""), "-",""), ";", ""), ":", "")</f>
        <v/>
      </c>
      <c r="V32" s="22" t="str">
        <f>SUBSTITUTE(SUBSTITUTE(SUBSTITUTE(SUBSTITUTE('Aqui Planilha'!V32, ".", ""), "-",""), ";", ""), ":", "")</f>
        <v/>
      </c>
      <c r="W32" s="15" t="str">
        <f>SUBSTITUTE(SUBSTITUTE(SUBSTITUTE(SUBSTITUTE('Aqui Planilha'!W32, ".", ""), "-",""), ";", ""), ":", "")</f>
        <v/>
      </c>
    </row>
    <row r="33" spans="2:23">
      <c r="B33" s="16"/>
      <c r="D33" s="17"/>
      <c r="H33" s="18"/>
      <c r="L33" s="19" t="e">
        <f>VALUE(SUBSTITUTE(SUBSTITUTE(SUBSTITUTE(SUBSTITUTE('Aqui Planilha'!L33, ".", ""), "-",""), ";", ""), ":", ""))</f>
        <v>#VALUE!</v>
      </c>
      <c r="M33" s="17"/>
      <c r="N33" s="20"/>
      <c r="Q33" s="21"/>
      <c r="R33" s="12" t="str">
        <f>UPPER(ACENTO('Aqui Planilha'!R33))</f>
        <v/>
      </c>
      <c r="S33" s="19" t="e">
        <f>VALUE(SUBSTITUTE(SUBSTITUTE(SUBSTITUTE(SUBSTITUTE('Aqui Planilha'!S33, ".", ""), "-",""), ";", ""), ":", ""))</f>
        <v>#VALUE!</v>
      </c>
      <c r="T33" s="22" t="str">
        <f>SUBSTITUTE(SUBSTITUTE(SUBSTITUTE(SUBSTITUTE('Aqui Planilha'!T33, ".", ""), "-",""), ";", ""), ":", "")</f>
        <v/>
      </c>
      <c r="U33" s="22" t="str">
        <f>SUBSTITUTE(SUBSTITUTE(SUBSTITUTE(SUBSTITUTE('Aqui Planilha'!U33, ".", ""), "-",""), ";", ""), ":", "")</f>
        <v/>
      </c>
      <c r="V33" s="22" t="str">
        <f>SUBSTITUTE(SUBSTITUTE(SUBSTITUTE(SUBSTITUTE('Aqui Planilha'!V33, ".", ""), "-",""), ";", ""), ":", "")</f>
        <v/>
      </c>
      <c r="W33" s="15" t="str">
        <f>SUBSTITUTE(SUBSTITUTE(SUBSTITUTE(SUBSTITUTE('Aqui Planilha'!W33, ".", ""), "-",""), ";", ""), ":", "")</f>
        <v/>
      </c>
    </row>
    <row r="34" spans="2:23">
      <c r="B34" s="16"/>
      <c r="D34" s="17"/>
      <c r="H34" s="18"/>
      <c r="L34" s="19" t="e">
        <f>VALUE(SUBSTITUTE(SUBSTITUTE(SUBSTITUTE(SUBSTITUTE('Aqui Planilha'!L34, ".", ""), "-",""), ";", ""), ":", ""))</f>
        <v>#VALUE!</v>
      </c>
      <c r="M34" s="17"/>
      <c r="N34" s="20"/>
      <c r="Q34" s="21"/>
      <c r="R34" s="12" t="str">
        <f>UPPER(ACENTO('Aqui Planilha'!R34))</f>
        <v/>
      </c>
      <c r="S34" s="19" t="e">
        <f>VALUE(SUBSTITUTE(SUBSTITUTE(SUBSTITUTE(SUBSTITUTE('Aqui Planilha'!S34, ".", ""), "-",""), ";", ""), ":", ""))</f>
        <v>#VALUE!</v>
      </c>
      <c r="T34" s="22" t="str">
        <f>SUBSTITUTE(SUBSTITUTE(SUBSTITUTE(SUBSTITUTE('Aqui Planilha'!T34, ".", ""), "-",""), ";", ""), ":", "")</f>
        <v/>
      </c>
      <c r="U34" s="22" t="str">
        <f>SUBSTITUTE(SUBSTITUTE(SUBSTITUTE(SUBSTITUTE('Aqui Planilha'!U34, ".", ""), "-",""), ";", ""), ":", "")</f>
        <v/>
      </c>
      <c r="V34" s="22" t="str">
        <f>SUBSTITUTE(SUBSTITUTE(SUBSTITUTE(SUBSTITUTE('Aqui Planilha'!V34, ".", ""), "-",""), ";", ""), ":", "")</f>
        <v/>
      </c>
      <c r="W34" s="15" t="str">
        <f>SUBSTITUTE(SUBSTITUTE(SUBSTITUTE(SUBSTITUTE('Aqui Planilha'!W34, ".", ""), "-",""), ";", ""), ":", "")</f>
        <v/>
      </c>
    </row>
    <row r="35" spans="2:23">
      <c r="B35" s="16"/>
      <c r="D35" s="17"/>
      <c r="H35" s="18"/>
      <c r="L35" s="19" t="e">
        <f>VALUE(SUBSTITUTE(SUBSTITUTE(SUBSTITUTE(SUBSTITUTE('Aqui Planilha'!L35, ".", ""), "-",""), ";", ""), ":", ""))</f>
        <v>#VALUE!</v>
      </c>
      <c r="M35" s="17"/>
      <c r="N35" s="20"/>
      <c r="Q35" s="21"/>
      <c r="R35" s="12" t="str">
        <f>UPPER(ACENTO('Aqui Planilha'!R35))</f>
        <v/>
      </c>
      <c r="S35" s="19" t="e">
        <f>VALUE(SUBSTITUTE(SUBSTITUTE(SUBSTITUTE(SUBSTITUTE('Aqui Planilha'!S35, ".", ""), "-",""), ";", ""), ":", ""))</f>
        <v>#VALUE!</v>
      </c>
      <c r="T35" s="22" t="str">
        <f>SUBSTITUTE(SUBSTITUTE(SUBSTITUTE(SUBSTITUTE('Aqui Planilha'!T35, ".", ""), "-",""), ";", ""), ":", "")</f>
        <v/>
      </c>
      <c r="U35" s="22" t="str">
        <f>SUBSTITUTE(SUBSTITUTE(SUBSTITUTE(SUBSTITUTE('Aqui Planilha'!U35, ".", ""), "-",""), ";", ""), ":", "")</f>
        <v/>
      </c>
      <c r="V35" s="22" t="str">
        <f>SUBSTITUTE(SUBSTITUTE(SUBSTITUTE(SUBSTITUTE('Aqui Planilha'!V35, ".", ""), "-",""), ";", ""), ":", "")</f>
        <v/>
      </c>
      <c r="W35" s="15" t="str">
        <f>SUBSTITUTE(SUBSTITUTE(SUBSTITUTE(SUBSTITUTE('Aqui Planilha'!W35, ".", ""), "-",""), ";", ""), ":", "")</f>
        <v/>
      </c>
    </row>
    <row r="36" spans="2:23">
      <c r="B36" s="16"/>
      <c r="D36" s="17"/>
      <c r="H36" s="18"/>
      <c r="L36" s="19" t="e">
        <f>VALUE(SUBSTITUTE(SUBSTITUTE(SUBSTITUTE(SUBSTITUTE('Aqui Planilha'!L36, ".", ""), "-",""), ";", ""), ":", ""))</f>
        <v>#VALUE!</v>
      </c>
      <c r="M36" s="17"/>
      <c r="N36" s="20"/>
      <c r="Q36" s="21"/>
      <c r="R36" s="12" t="str">
        <f>UPPER(ACENTO('Aqui Planilha'!R36))</f>
        <v/>
      </c>
      <c r="S36" s="19" t="e">
        <f>VALUE(SUBSTITUTE(SUBSTITUTE(SUBSTITUTE(SUBSTITUTE('Aqui Planilha'!S36, ".", ""), "-",""), ";", ""), ":", ""))</f>
        <v>#VALUE!</v>
      </c>
      <c r="T36" s="22" t="str">
        <f>SUBSTITUTE(SUBSTITUTE(SUBSTITUTE(SUBSTITUTE('Aqui Planilha'!T36, ".", ""), "-",""), ";", ""), ":", "")</f>
        <v/>
      </c>
      <c r="U36" s="22" t="str">
        <f>SUBSTITUTE(SUBSTITUTE(SUBSTITUTE(SUBSTITUTE('Aqui Planilha'!U36, ".", ""), "-",""), ";", ""), ":", "")</f>
        <v/>
      </c>
      <c r="V36" s="22" t="str">
        <f>SUBSTITUTE(SUBSTITUTE(SUBSTITUTE(SUBSTITUTE('Aqui Planilha'!V36, ".", ""), "-",""), ";", ""), ":", "")</f>
        <v/>
      </c>
      <c r="W36" s="15" t="str">
        <f>SUBSTITUTE(SUBSTITUTE(SUBSTITUTE(SUBSTITUTE('Aqui Planilha'!W36, ".", ""), "-",""), ";", ""), ":", "")</f>
        <v/>
      </c>
    </row>
    <row r="37" spans="2:23">
      <c r="B37" s="16"/>
      <c r="D37" s="17"/>
      <c r="H37" s="18"/>
      <c r="L37" s="19" t="e">
        <f>VALUE(SUBSTITUTE(SUBSTITUTE(SUBSTITUTE(SUBSTITUTE('Aqui Planilha'!L37, ".", ""), "-",""), ";", ""), ":", ""))</f>
        <v>#VALUE!</v>
      </c>
      <c r="M37" s="17"/>
      <c r="N37" s="20"/>
      <c r="Q37" s="21"/>
      <c r="R37" s="12" t="str">
        <f>UPPER(ACENTO('Aqui Planilha'!R37))</f>
        <v/>
      </c>
      <c r="S37" s="19" t="e">
        <f>VALUE(SUBSTITUTE(SUBSTITUTE(SUBSTITUTE(SUBSTITUTE('Aqui Planilha'!S37, ".", ""), "-",""), ";", ""), ":", ""))</f>
        <v>#VALUE!</v>
      </c>
      <c r="T37" s="22" t="str">
        <f>SUBSTITUTE(SUBSTITUTE(SUBSTITUTE(SUBSTITUTE('Aqui Planilha'!T37, ".", ""), "-",""), ";", ""), ":", "")</f>
        <v/>
      </c>
      <c r="U37" s="22" t="str">
        <f>SUBSTITUTE(SUBSTITUTE(SUBSTITUTE(SUBSTITUTE('Aqui Planilha'!U37, ".", ""), "-",""), ";", ""), ":", "")</f>
        <v/>
      </c>
      <c r="V37" s="22" t="str">
        <f>SUBSTITUTE(SUBSTITUTE(SUBSTITUTE(SUBSTITUTE('Aqui Planilha'!V37, ".", ""), "-",""), ";", ""), ":", "")</f>
        <v/>
      </c>
      <c r="W37" s="15" t="str">
        <f>SUBSTITUTE(SUBSTITUTE(SUBSTITUTE(SUBSTITUTE('Aqui Planilha'!W37, ".", ""), "-",""), ";", ""), ":", "")</f>
        <v/>
      </c>
    </row>
    <row r="38" spans="2:23">
      <c r="B38" s="16"/>
      <c r="D38" s="17"/>
      <c r="H38" s="18"/>
      <c r="L38" s="19" t="e">
        <f>VALUE(SUBSTITUTE(SUBSTITUTE(SUBSTITUTE(SUBSTITUTE('Aqui Planilha'!L38, ".", ""), "-",""), ";", ""), ":", ""))</f>
        <v>#VALUE!</v>
      </c>
      <c r="M38" s="17"/>
      <c r="N38" s="20"/>
      <c r="Q38" s="21"/>
      <c r="R38" s="12" t="str">
        <f>UPPER(ACENTO('Aqui Planilha'!R38))</f>
        <v/>
      </c>
      <c r="S38" s="19" t="e">
        <f>VALUE(SUBSTITUTE(SUBSTITUTE(SUBSTITUTE(SUBSTITUTE('Aqui Planilha'!S38, ".", ""), "-",""), ";", ""), ":", ""))</f>
        <v>#VALUE!</v>
      </c>
      <c r="T38" s="22" t="str">
        <f>SUBSTITUTE(SUBSTITUTE(SUBSTITUTE(SUBSTITUTE('Aqui Planilha'!T38, ".", ""), "-",""), ";", ""), ":", "")</f>
        <v/>
      </c>
      <c r="U38" s="22" t="str">
        <f>SUBSTITUTE(SUBSTITUTE(SUBSTITUTE(SUBSTITUTE('Aqui Planilha'!U38, ".", ""), "-",""), ";", ""), ":", "")</f>
        <v/>
      </c>
      <c r="V38" s="22" t="str">
        <f>SUBSTITUTE(SUBSTITUTE(SUBSTITUTE(SUBSTITUTE('Aqui Planilha'!V38, ".", ""), "-",""), ";", ""), ":", "")</f>
        <v/>
      </c>
      <c r="W38" s="15" t="str">
        <f>SUBSTITUTE(SUBSTITUTE(SUBSTITUTE(SUBSTITUTE('Aqui Planilha'!W38, ".", ""), "-",""), ";", ""), ":", "")</f>
        <v/>
      </c>
    </row>
    <row r="39" spans="2:23">
      <c r="B39" s="16"/>
      <c r="D39" s="17"/>
      <c r="H39" s="18"/>
      <c r="L39" s="19" t="e">
        <f>VALUE(SUBSTITUTE(SUBSTITUTE(SUBSTITUTE(SUBSTITUTE('Aqui Planilha'!L39, ".", ""), "-",""), ";", ""), ":", ""))</f>
        <v>#VALUE!</v>
      </c>
      <c r="M39" s="17"/>
      <c r="N39" s="20"/>
      <c r="Q39" s="21"/>
      <c r="R39" s="12" t="str">
        <f>UPPER(ACENTO('Aqui Planilha'!R39))</f>
        <v/>
      </c>
      <c r="S39" s="19" t="e">
        <f>VALUE(SUBSTITUTE(SUBSTITUTE(SUBSTITUTE(SUBSTITUTE('Aqui Planilha'!S39, ".", ""), "-",""), ";", ""), ":", ""))</f>
        <v>#VALUE!</v>
      </c>
      <c r="T39" s="22" t="str">
        <f>SUBSTITUTE(SUBSTITUTE(SUBSTITUTE(SUBSTITUTE('Aqui Planilha'!T39, ".", ""), "-",""), ";", ""), ":", "")</f>
        <v/>
      </c>
      <c r="U39" s="22" t="str">
        <f>SUBSTITUTE(SUBSTITUTE(SUBSTITUTE(SUBSTITUTE('Aqui Planilha'!U39, ".", ""), "-",""), ";", ""), ":", "")</f>
        <v/>
      </c>
      <c r="V39" s="22" t="str">
        <f>SUBSTITUTE(SUBSTITUTE(SUBSTITUTE(SUBSTITUTE('Aqui Planilha'!V39, ".", ""), "-",""), ";", ""), ":", "")</f>
        <v/>
      </c>
      <c r="W39" s="15" t="str">
        <f>SUBSTITUTE(SUBSTITUTE(SUBSTITUTE(SUBSTITUTE('Aqui Planilha'!W39, ".", ""), "-",""), ";", ""), ":", "")</f>
        <v/>
      </c>
    </row>
    <row r="40" spans="2:23">
      <c r="B40" s="16"/>
      <c r="D40" s="17"/>
      <c r="H40" s="18"/>
      <c r="L40" s="19" t="e">
        <f>VALUE(SUBSTITUTE(SUBSTITUTE(SUBSTITUTE(SUBSTITUTE('Aqui Planilha'!L40, ".", ""), "-",""), ";", ""), ":", ""))</f>
        <v>#VALUE!</v>
      </c>
      <c r="M40" s="17"/>
      <c r="N40" s="20"/>
      <c r="Q40" s="21"/>
      <c r="R40" s="12" t="str">
        <f>UPPER(ACENTO('Aqui Planilha'!R40))</f>
        <v/>
      </c>
      <c r="S40" s="19" t="e">
        <f>VALUE(SUBSTITUTE(SUBSTITUTE(SUBSTITUTE(SUBSTITUTE('Aqui Planilha'!S40, ".", ""), "-",""), ";", ""), ":", ""))</f>
        <v>#VALUE!</v>
      </c>
      <c r="T40" s="22" t="str">
        <f>SUBSTITUTE(SUBSTITUTE(SUBSTITUTE(SUBSTITUTE('Aqui Planilha'!T40, ".", ""), "-",""), ";", ""), ":", "")</f>
        <v/>
      </c>
      <c r="U40" s="22" t="str">
        <f>SUBSTITUTE(SUBSTITUTE(SUBSTITUTE(SUBSTITUTE('Aqui Planilha'!U40, ".", ""), "-",""), ";", ""), ":", "")</f>
        <v/>
      </c>
      <c r="V40" s="22" t="str">
        <f>SUBSTITUTE(SUBSTITUTE(SUBSTITUTE(SUBSTITUTE('Aqui Planilha'!V40, ".", ""), "-",""), ";", ""), ":", "")</f>
        <v/>
      </c>
      <c r="W40" s="15" t="str">
        <f>SUBSTITUTE(SUBSTITUTE(SUBSTITUTE(SUBSTITUTE('Aqui Planilha'!W40, ".", ""), "-",""), ";", ""), ":", "")</f>
        <v/>
      </c>
    </row>
    <row r="41" spans="2:23">
      <c r="B41" s="16"/>
      <c r="D41" s="17"/>
      <c r="H41" s="18"/>
      <c r="L41" s="19" t="e">
        <f>VALUE(SUBSTITUTE(SUBSTITUTE(SUBSTITUTE(SUBSTITUTE('Aqui Planilha'!L41, ".", ""), "-",""), ";", ""), ":", ""))</f>
        <v>#VALUE!</v>
      </c>
      <c r="M41" s="17"/>
      <c r="N41" s="20"/>
      <c r="Q41" s="21"/>
      <c r="R41" s="12" t="str">
        <f>UPPER(ACENTO('Aqui Planilha'!R41))</f>
        <v/>
      </c>
      <c r="S41" s="19" t="e">
        <f>VALUE(SUBSTITUTE(SUBSTITUTE(SUBSTITUTE(SUBSTITUTE('Aqui Planilha'!S41, ".", ""), "-",""), ";", ""), ":", ""))</f>
        <v>#VALUE!</v>
      </c>
      <c r="T41" s="22" t="str">
        <f>SUBSTITUTE(SUBSTITUTE(SUBSTITUTE(SUBSTITUTE('Aqui Planilha'!T41, ".", ""), "-",""), ";", ""), ":", "")</f>
        <v/>
      </c>
      <c r="U41" s="22" t="str">
        <f>SUBSTITUTE(SUBSTITUTE(SUBSTITUTE(SUBSTITUTE('Aqui Planilha'!U41, ".", ""), "-",""), ";", ""), ":", "")</f>
        <v/>
      </c>
      <c r="V41" s="22" t="str">
        <f>SUBSTITUTE(SUBSTITUTE(SUBSTITUTE(SUBSTITUTE('Aqui Planilha'!V41, ".", ""), "-",""), ";", ""), ":", "")</f>
        <v/>
      </c>
      <c r="W41" s="15" t="str">
        <f>SUBSTITUTE(SUBSTITUTE(SUBSTITUTE(SUBSTITUTE('Aqui Planilha'!W41, ".", ""), "-",""), ";", ""), ":", "")</f>
        <v/>
      </c>
    </row>
    <row r="42" spans="2:23">
      <c r="B42" s="16"/>
      <c r="D42" s="17"/>
      <c r="H42" s="18"/>
      <c r="L42" s="19" t="e">
        <f>VALUE(SUBSTITUTE(SUBSTITUTE(SUBSTITUTE(SUBSTITUTE('Aqui Planilha'!L42, ".", ""), "-",""), ";", ""), ":", ""))</f>
        <v>#VALUE!</v>
      </c>
      <c r="M42" s="17"/>
      <c r="N42" s="20"/>
      <c r="Q42" s="21"/>
      <c r="R42" s="12" t="str">
        <f>UPPER(ACENTO('Aqui Planilha'!R42))</f>
        <v/>
      </c>
      <c r="S42" s="19" t="e">
        <f>VALUE(SUBSTITUTE(SUBSTITUTE(SUBSTITUTE(SUBSTITUTE('Aqui Planilha'!S42, ".", ""), "-",""), ";", ""), ":", ""))</f>
        <v>#VALUE!</v>
      </c>
      <c r="T42" s="22" t="str">
        <f>SUBSTITUTE(SUBSTITUTE(SUBSTITUTE(SUBSTITUTE('Aqui Planilha'!T42, ".", ""), "-",""), ";", ""), ":", "")</f>
        <v/>
      </c>
      <c r="U42" s="22" t="str">
        <f>SUBSTITUTE(SUBSTITUTE(SUBSTITUTE(SUBSTITUTE('Aqui Planilha'!U42, ".", ""), "-",""), ";", ""), ":", "")</f>
        <v/>
      </c>
      <c r="V42" s="22" t="str">
        <f>SUBSTITUTE(SUBSTITUTE(SUBSTITUTE(SUBSTITUTE('Aqui Planilha'!V42, ".", ""), "-",""), ";", ""), ":", "")</f>
        <v/>
      </c>
      <c r="W42" s="15" t="str">
        <f>SUBSTITUTE(SUBSTITUTE(SUBSTITUTE(SUBSTITUTE('Aqui Planilha'!W42, ".", ""), "-",""), ";", ""), ":", "")</f>
        <v/>
      </c>
    </row>
    <row r="43" spans="2:23">
      <c r="B43" s="16"/>
      <c r="D43" s="17"/>
      <c r="H43" s="18"/>
      <c r="L43" s="19" t="e">
        <f>VALUE(SUBSTITUTE(SUBSTITUTE(SUBSTITUTE(SUBSTITUTE('Aqui Planilha'!L43, ".", ""), "-",""), ";", ""), ":", ""))</f>
        <v>#VALUE!</v>
      </c>
      <c r="M43" s="17"/>
      <c r="N43" s="20"/>
      <c r="Q43" s="21"/>
      <c r="R43" s="12" t="str">
        <f>UPPER(ACENTO('Aqui Planilha'!R43))</f>
        <v/>
      </c>
      <c r="S43" s="19" t="e">
        <f>VALUE(SUBSTITUTE(SUBSTITUTE(SUBSTITUTE(SUBSTITUTE('Aqui Planilha'!S43, ".", ""), "-",""), ";", ""), ":", ""))</f>
        <v>#VALUE!</v>
      </c>
      <c r="T43" s="22" t="str">
        <f>SUBSTITUTE(SUBSTITUTE(SUBSTITUTE(SUBSTITUTE('Aqui Planilha'!T43, ".", ""), "-",""), ";", ""), ":", "")</f>
        <v/>
      </c>
      <c r="U43" s="22" t="str">
        <f>SUBSTITUTE(SUBSTITUTE(SUBSTITUTE(SUBSTITUTE('Aqui Planilha'!U43, ".", ""), "-",""), ";", ""), ":", "")</f>
        <v/>
      </c>
      <c r="V43" s="22" t="str">
        <f>SUBSTITUTE(SUBSTITUTE(SUBSTITUTE(SUBSTITUTE('Aqui Planilha'!V43, ".", ""), "-",""), ";", ""), ":", "")</f>
        <v/>
      </c>
      <c r="W43" s="15" t="str">
        <f>SUBSTITUTE(SUBSTITUTE(SUBSTITUTE(SUBSTITUTE('Aqui Planilha'!W43, ".", ""), "-",""), ";", ""), ":", "")</f>
        <v/>
      </c>
    </row>
    <row r="44" spans="2:23">
      <c r="B44" s="16"/>
      <c r="D44" s="17"/>
      <c r="H44" s="18"/>
      <c r="L44" s="19" t="e">
        <f>VALUE(SUBSTITUTE(SUBSTITUTE(SUBSTITUTE(SUBSTITUTE('Aqui Planilha'!L44, ".", ""), "-",""), ";", ""), ":", ""))</f>
        <v>#VALUE!</v>
      </c>
      <c r="M44" s="17"/>
      <c r="N44" s="20"/>
      <c r="Q44" s="21"/>
      <c r="R44" s="12" t="str">
        <f>UPPER(ACENTO('Aqui Planilha'!R44))</f>
        <v/>
      </c>
      <c r="S44" s="19" t="e">
        <f>VALUE(SUBSTITUTE(SUBSTITUTE(SUBSTITUTE(SUBSTITUTE('Aqui Planilha'!S44, ".", ""), "-",""), ";", ""), ":", ""))</f>
        <v>#VALUE!</v>
      </c>
      <c r="T44" s="22" t="str">
        <f>SUBSTITUTE(SUBSTITUTE(SUBSTITUTE(SUBSTITUTE('Aqui Planilha'!T44, ".", ""), "-",""), ";", ""), ":", "")</f>
        <v/>
      </c>
      <c r="U44" s="22" t="str">
        <f>SUBSTITUTE(SUBSTITUTE(SUBSTITUTE(SUBSTITUTE('Aqui Planilha'!U44, ".", ""), "-",""), ";", ""), ":", "")</f>
        <v/>
      </c>
      <c r="V44" s="22" t="str">
        <f>SUBSTITUTE(SUBSTITUTE(SUBSTITUTE(SUBSTITUTE('Aqui Planilha'!V44, ".", ""), "-",""), ";", ""), ":", "")</f>
        <v/>
      </c>
      <c r="W44" s="15" t="str">
        <f>SUBSTITUTE(SUBSTITUTE(SUBSTITUTE(SUBSTITUTE('Aqui Planilha'!W44, ".", ""), "-",""), ";", ""), ":", "")</f>
        <v/>
      </c>
    </row>
    <row r="45" spans="2:23">
      <c r="B45" s="16"/>
      <c r="D45" s="17"/>
      <c r="H45" s="18"/>
      <c r="L45" s="19" t="e">
        <f>VALUE(SUBSTITUTE(SUBSTITUTE(SUBSTITUTE(SUBSTITUTE('Aqui Planilha'!L45, ".", ""), "-",""), ";", ""), ":", ""))</f>
        <v>#VALUE!</v>
      </c>
      <c r="M45" s="17"/>
      <c r="N45" s="20"/>
      <c r="Q45" s="21"/>
      <c r="R45" s="12" t="str">
        <f>UPPER(ACENTO('Aqui Planilha'!R45))</f>
        <v/>
      </c>
      <c r="S45" s="19" t="e">
        <f>VALUE(SUBSTITUTE(SUBSTITUTE(SUBSTITUTE(SUBSTITUTE('Aqui Planilha'!S45, ".", ""), "-",""), ";", ""), ":", ""))</f>
        <v>#VALUE!</v>
      </c>
      <c r="T45" s="22" t="str">
        <f>SUBSTITUTE(SUBSTITUTE(SUBSTITUTE(SUBSTITUTE('Aqui Planilha'!T45, ".", ""), "-",""), ";", ""), ":", "")</f>
        <v/>
      </c>
      <c r="U45" s="22" t="str">
        <f>SUBSTITUTE(SUBSTITUTE(SUBSTITUTE(SUBSTITUTE('Aqui Planilha'!U45, ".", ""), "-",""), ";", ""), ":", "")</f>
        <v/>
      </c>
      <c r="V45" s="22" t="str">
        <f>SUBSTITUTE(SUBSTITUTE(SUBSTITUTE(SUBSTITUTE('Aqui Planilha'!V45, ".", ""), "-",""), ";", ""), ":", "")</f>
        <v/>
      </c>
      <c r="W45" s="15" t="str">
        <f>SUBSTITUTE(SUBSTITUTE(SUBSTITUTE(SUBSTITUTE('Aqui Planilha'!W45, ".", ""), "-",""), ";", ""), ":", "")</f>
        <v/>
      </c>
    </row>
    <row r="46" spans="2:23">
      <c r="B46" s="16"/>
      <c r="D46" s="17"/>
      <c r="H46" s="18"/>
      <c r="L46" s="19" t="e">
        <f>VALUE(SUBSTITUTE(SUBSTITUTE(SUBSTITUTE(SUBSTITUTE('Aqui Planilha'!L46, ".", ""), "-",""), ";", ""), ":", ""))</f>
        <v>#VALUE!</v>
      </c>
      <c r="M46" s="17"/>
      <c r="N46" s="20"/>
      <c r="Q46" s="21"/>
      <c r="R46" s="12" t="str">
        <f>UPPER(ACENTO('Aqui Planilha'!R46))</f>
        <v/>
      </c>
      <c r="S46" s="19" t="e">
        <f>VALUE(SUBSTITUTE(SUBSTITUTE(SUBSTITUTE(SUBSTITUTE('Aqui Planilha'!S46, ".", ""), "-",""), ";", ""), ":", ""))</f>
        <v>#VALUE!</v>
      </c>
      <c r="T46" s="22" t="str">
        <f>SUBSTITUTE(SUBSTITUTE(SUBSTITUTE(SUBSTITUTE('Aqui Planilha'!T46, ".", ""), "-",""), ";", ""), ":", "")</f>
        <v/>
      </c>
      <c r="U46" s="22" t="str">
        <f>SUBSTITUTE(SUBSTITUTE(SUBSTITUTE(SUBSTITUTE('Aqui Planilha'!U46, ".", ""), "-",""), ";", ""), ":", "")</f>
        <v/>
      </c>
      <c r="V46" s="22" t="str">
        <f>SUBSTITUTE(SUBSTITUTE(SUBSTITUTE(SUBSTITUTE('Aqui Planilha'!V46, ".", ""), "-",""), ";", ""), ":", "")</f>
        <v/>
      </c>
      <c r="W46" s="15" t="str">
        <f>SUBSTITUTE(SUBSTITUTE(SUBSTITUTE(SUBSTITUTE('Aqui Planilha'!W46, ".", ""), "-",""), ";", ""), ":", "")</f>
        <v/>
      </c>
    </row>
    <row r="47" spans="2:23">
      <c r="B47" s="16"/>
      <c r="D47" s="17"/>
      <c r="H47" s="18"/>
      <c r="L47" s="19" t="e">
        <f>VALUE(SUBSTITUTE(SUBSTITUTE(SUBSTITUTE(SUBSTITUTE('Aqui Planilha'!L47, ".", ""), "-",""), ";", ""), ":", ""))</f>
        <v>#VALUE!</v>
      </c>
      <c r="M47" s="17"/>
      <c r="N47" s="20"/>
      <c r="Q47" s="21"/>
      <c r="R47" s="12" t="str">
        <f>UPPER(ACENTO('Aqui Planilha'!R47))</f>
        <v/>
      </c>
      <c r="S47" s="19" t="e">
        <f>VALUE(SUBSTITUTE(SUBSTITUTE(SUBSTITUTE(SUBSTITUTE('Aqui Planilha'!S47, ".", ""), "-",""), ";", ""), ":", ""))</f>
        <v>#VALUE!</v>
      </c>
      <c r="T47" s="22" t="str">
        <f>SUBSTITUTE(SUBSTITUTE(SUBSTITUTE(SUBSTITUTE('Aqui Planilha'!T47, ".", ""), "-",""), ";", ""), ":", "")</f>
        <v/>
      </c>
      <c r="U47" s="22" t="str">
        <f>SUBSTITUTE(SUBSTITUTE(SUBSTITUTE(SUBSTITUTE('Aqui Planilha'!U47, ".", ""), "-",""), ";", ""), ":", "")</f>
        <v/>
      </c>
      <c r="V47" s="22" t="str">
        <f>SUBSTITUTE(SUBSTITUTE(SUBSTITUTE(SUBSTITUTE('Aqui Planilha'!V47, ".", ""), "-",""), ";", ""), ":", "")</f>
        <v/>
      </c>
      <c r="W47" s="15" t="str">
        <f>SUBSTITUTE(SUBSTITUTE(SUBSTITUTE(SUBSTITUTE('Aqui Planilha'!W47, ".", ""), "-",""), ";", ""), ":", "")</f>
        <v/>
      </c>
    </row>
    <row r="48" spans="2:23">
      <c r="B48" s="16"/>
      <c r="D48" s="17"/>
      <c r="H48" s="18"/>
      <c r="L48" s="19" t="e">
        <f>VALUE(SUBSTITUTE(SUBSTITUTE(SUBSTITUTE(SUBSTITUTE('Aqui Planilha'!L48, ".", ""), "-",""), ";", ""), ":", ""))</f>
        <v>#VALUE!</v>
      </c>
      <c r="M48" s="17"/>
      <c r="N48" s="20"/>
      <c r="Q48" s="21"/>
      <c r="R48" s="12" t="str">
        <f>UPPER(ACENTO('Aqui Planilha'!R48))</f>
        <v/>
      </c>
      <c r="S48" s="19" t="e">
        <f>VALUE(SUBSTITUTE(SUBSTITUTE(SUBSTITUTE(SUBSTITUTE('Aqui Planilha'!S48, ".", ""), "-",""), ";", ""), ":", ""))</f>
        <v>#VALUE!</v>
      </c>
      <c r="T48" s="22" t="str">
        <f>SUBSTITUTE(SUBSTITUTE(SUBSTITUTE(SUBSTITUTE('Aqui Planilha'!T48, ".", ""), "-",""), ";", ""), ":", "")</f>
        <v/>
      </c>
      <c r="U48" s="22" t="str">
        <f>SUBSTITUTE(SUBSTITUTE(SUBSTITUTE(SUBSTITUTE('Aqui Planilha'!U48, ".", ""), "-",""), ";", ""), ":", "")</f>
        <v/>
      </c>
      <c r="V48" s="22" t="str">
        <f>SUBSTITUTE(SUBSTITUTE(SUBSTITUTE(SUBSTITUTE('Aqui Planilha'!V48, ".", ""), "-",""), ";", ""), ":", "")</f>
        <v/>
      </c>
      <c r="W48" s="15" t="str">
        <f>SUBSTITUTE(SUBSTITUTE(SUBSTITUTE(SUBSTITUTE('Aqui Planilha'!W48, ".", ""), "-",""), ";", ""), ":", "")</f>
        <v/>
      </c>
    </row>
    <row r="49" spans="2:23">
      <c r="B49" s="16"/>
      <c r="D49" s="17"/>
      <c r="H49" s="18"/>
      <c r="L49" s="19" t="e">
        <f>VALUE(SUBSTITUTE(SUBSTITUTE(SUBSTITUTE(SUBSTITUTE('Aqui Planilha'!L49, ".", ""), "-",""), ";", ""), ":", ""))</f>
        <v>#VALUE!</v>
      </c>
      <c r="M49" s="17"/>
      <c r="N49" s="20"/>
      <c r="Q49" s="21"/>
      <c r="R49" s="12" t="str">
        <f>UPPER(ACENTO('Aqui Planilha'!R49))</f>
        <v/>
      </c>
      <c r="S49" s="19" t="e">
        <f>VALUE(SUBSTITUTE(SUBSTITUTE(SUBSTITUTE(SUBSTITUTE('Aqui Planilha'!S49, ".", ""), "-",""), ";", ""), ":", ""))</f>
        <v>#VALUE!</v>
      </c>
      <c r="T49" s="22" t="str">
        <f>SUBSTITUTE(SUBSTITUTE(SUBSTITUTE(SUBSTITUTE('Aqui Planilha'!T49, ".", ""), "-",""), ";", ""), ":", "")</f>
        <v/>
      </c>
      <c r="U49" s="22" t="str">
        <f>SUBSTITUTE(SUBSTITUTE(SUBSTITUTE(SUBSTITUTE('Aqui Planilha'!U49, ".", ""), "-",""), ";", ""), ":", "")</f>
        <v/>
      </c>
      <c r="V49" s="22" t="str">
        <f>SUBSTITUTE(SUBSTITUTE(SUBSTITUTE(SUBSTITUTE('Aqui Planilha'!V49, ".", ""), "-",""), ";", ""), ":", "")</f>
        <v/>
      </c>
      <c r="W49" s="15" t="str">
        <f>SUBSTITUTE(SUBSTITUTE(SUBSTITUTE(SUBSTITUTE('Aqui Planilha'!W49, ".", ""), "-",""), ";", ""), ":", "")</f>
        <v/>
      </c>
    </row>
    <row r="50" spans="2:23" s="2" customFormat="1">
      <c r="B50" s="4"/>
      <c r="C50" s="9"/>
      <c r="D50" s="5"/>
      <c r="H50" s="6"/>
      <c r="L50" s="10" t="e">
        <f>VALUE(SUBSTITUTE(SUBSTITUTE(SUBSTITUTE(SUBSTITUTE('Aqui Planilha'!L50, ".", ""), "-",""), ";", ""), ":", ""))</f>
        <v>#VALUE!</v>
      </c>
      <c r="M50" s="5"/>
      <c r="N50" s="11"/>
      <c r="Q50" s="8"/>
      <c r="R50" s="2" t="str">
        <f>UPPER(ACENTO('Aqui Planilha'!R50))</f>
        <v/>
      </c>
      <c r="S50" s="7" t="str">
        <f>SUBSTITUTE(SUBSTITUTE(SUBSTITUTE(SUBSTITUTE('Aqui Planilha'!S50, ".", ""), "-",""), ";", ""), ":", "")</f>
        <v/>
      </c>
      <c r="T50" s="7" t="str">
        <f>SUBSTITUTE(SUBSTITUTE(SUBSTITUTE(SUBSTITUTE('Aqui Planilha'!T50, ".", ""), "-",""), ";", ""), ":", "")</f>
        <v/>
      </c>
      <c r="U50" s="7" t="str">
        <f>SUBSTITUTE(SUBSTITUTE(SUBSTITUTE(SUBSTITUTE('Aqui Planilha'!U50, ".", ""), "-",""), ";", ""), ":", "")</f>
        <v/>
      </c>
      <c r="V50" s="7" t="str">
        <f>SUBSTITUTE(SUBSTITUTE(SUBSTITUTE(SUBSTITUTE('Aqui Planilha'!V50, ".", ""), "-",""), ";", ""), ":", "")</f>
        <v/>
      </c>
      <c r="W50" s="3" t="str">
        <f>SUBSTITUTE(SUBSTITUTE(SUBSTITUTE(SUBSTITUTE('Aqui Planilha'!W50, ".", ""), "-",""), ";", ""), ":", "")</f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&amp;C&amp;1#&amp;"Calibri"&amp;10&amp;K000000Classificação da informação: Uso Interno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W50"/>
  <sheetViews>
    <sheetView topLeftCell="F1" zoomScale="85" zoomScaleNormal="85" workbookViewId="0">
      <selection activeCell="T4" sqref="T4:W5"/>
    </sheetView>
  </sheetViews>
  <sheetFormatPr defaultRowHeight="15"/>
  <cols>
    <col min="1" max="1" width="36.5" style="40" bestFit="1" customWidth="1"/>
    <col min="2" max="2" width="19.875" style="45" bestFit="1" customWidth="1"/>
    <col min="3" max="3" width="14.25" style="45" bestFit="1" customWidth="1"/>
    <col min="4" max="4" width="10.5" style="45" bestFit="1" customWidth="1"/>
    <col min="5" max="5" width="19.625" style="45" bestFit="1" customWidth="1"/>
    <col min="6" max="6" width="19.5" style="45" bestFit="1" customWidth="1"/>
    <col min="7" max="7" width="31.625" style="45" bestFit="1" customWidth="1"/>
    <col min="8" max="8" width="12.5" style="45" bestFit="1" customWidth="1"/>
    <col min="9" max="9" width="17.125" style="45" bestFit="1" customWidth="1"/>
    <col min="10" max="10" width="18" style="45" customWidth="1"/>
    <col min="11" max="11" width="15.125" style="45" bestFit="1" customWidth="1"/>
    <col min="12" max="12" width="12.375" style="45" bestFit="1" customWidth="1"/>
    <col min="13" max="13" width="13.625" style="45" bestFit="1" customWidth="1"/>
    <col min="14" max="14" width="17.25" style="45" customWidth="1"/>
    <col min="15" max="15" width="18.375" style="45" bestFit="1" customWidth="1"/>
    <col min="16" max="16" width="16.75" style="45" bestFit="1" customWidth="1"/>
    <col min="17" max="17" width="3.75" style="45" bestFit="1" customWidth="1"/>
    <col min="18" max="18" width="24.375" style="45" bestFit="1" customWidth="1"/>
    <col min="19" max="19" width="23" style="45" bestFit="1" customWidth="1"/>
    <col min="20" max="20" width="20.125" style="45" bestFit="1" customWidth="1"/>
    <col min="21" max="21" width="22.375" style="62" bestFit="1" customWidth="1"/>
    <col min="22" max="22" width="20.125" style="45" bestFit="1" customWidth="1"/>
    <col min="23" max="23" width="13.625" style="45" bestFit="1" customWidth="1"/>
    <col min="24" max="16384" width="9" style="45"/>
  </cols>
  <sheetData>
    <row r="1" spans="1:23" s="42" customFormat="1">
      <c r="A1" s="39" t="s">
        <v>0</v>
      </c>
      <c r="B1" s="42" t="s">
        <v>1</v>
      </c>
      <c r="C1" s="42" t="s">
        <v>2</v>
      </c>
      <c r="E1" s="43"/>
      <c r="U1" s="61"/>
    </row>
    <row r="2" spans="1:23" ht="18.75">
      <c r="A2" s="54" t="str">
        <f>UPPER('Aqui Planilha'!A2)</f>
        <v>43BL</v>
      </c>
      <c r="B2" s="52" t="s">
        <v>29</v>
      </c>
      <c r="C2" s="53">
        <f>COUNTIF(C4:C50,"M")+COUNTIF(C4:C50,"F")</f>
        <v>2</v>
      </c>
    </row>
    <row r="3" spans="1:23" s="46" customFormat="1" ht="14.25">
      <c r="A3" s="41" t="s">
        <v>3</v>
      </c>
      <c r="B3" s="46" t="s">
        <v>4</v>
      </c>
      <c r="C3" s="46" t="s">
        <v>5</v>
      </c>
      <c r="D3" s="46" t="s">
        <v>6</v>
      </c>
      <c r="E3" s="46" t="s">
        <v>7</v>
      </c>
      <c r="F3" s="46" t="s">
        <v>8</v>
      </c>
      <c r="G3" s="46" t="s">
        <v>9</v>
      </c>
      <c r="H3" s="46" t="s">
        <v>10</v>
      </c>
      <c r="I3" s="46" t="s">
        <v>11</v>
      </c>
      <c r="J3" s="46" t="s">
        <v>12</v>
      </c>
      <c r="K3" s="46" t="s">
        <v>13</v>
      </c>
      <c r="L3" s="46" t="s">
        <v>14</v>
      </c>
      <c r="M3" s="46" t="s">
        <v>15</v>
      </c>
      <c r="N3" s="46" t="s">
        <v>16</v>
      </c>
      <c r="O3" s="46" t="s">
        <v>17</v>
      </c>
      <c r="P3" s="46" t="s">
        <v>18</v>
      </c>
      <c r="Q3" s="46" t="s">
        <v>19</v>
      </c>
      <c r="R3" s="46" t="s">
        <v>20</v>
      </c>
      <c r="S3" s="46" t="s">
        <v>21</v>
      </c>
      <c r="T3" s="46" t="s">
        <v>22</v>
      </c>
      <c r="U3" s="63" t="s">
        <v>23</v>
      </c>
      <c r="V3" s="46" t="s">
        <v>24</v>
      </c>
      <c r="W3" s="46" t="s">
        <v>25</v>
      </c>
    </row>
    <row r="4" spans="1:23">
      <c r="A4" s="40" t="str" cm="1">
        <f t="array" ref="A4">UPPER(ACENTO('Aqui Planilha'!A4))</f>
        <v>IVAN FRANCA</v>
      </c>
      <c r="B4" s="47">
        <f>VALUE(SUBSTITUTE(SUBSTITUTE(SUBSTITUTE(SUBSTITUTE(SUBSTITUTE('Aqui Planilha'!B4, ".", "/"), "-","/"), ";", "/"), ":", "/"), "/", "/"))</f>
        <v>35350</v>
      </c>
      <c r="C4" s="45" t="str">
        <f>SUBSTITUTE(SUBSTITUTE(UPPER('Aqui Planilha'!C4),"MASCULINO","M"),"FEMININO","F")</f>
        <v>M</v>
      </c>
      <c r="D4" s="48" t="str">
        <f>SUBSTITUTE(SUBSTITUTE(SUBSTITUTE(SUBSTITUTE('Aqui Planilha'!D4, ".", ""), "-",""), ";", ""), ":", "")</f>
        <v>89968000</v>
      </c>
      <c r="E4" s="45" t="str">
        <f>SUBSTITUTE(SUBSTITUTE(UPPER(ACENTO('Aqui Planilha'!E4)),"'",""), ".", "")</f>
        <v>INTERIOR</v>
      </c>
      <c r="F4" s="45" t="str">
        <f>UPPER(ACENTO('Aqui Planilha'!F4))</f>
        <v>LINHA</v>
      </c>
      <c r="G4" s="45" t="str">
        <f>UPPER(ACENTO('Aqui Planilha'!G4))</f>
        <v>TRES ROSAS</v>
      </c>
      <c r="H4" s="44" t="str">
        <f>SUBSTITUTE(SUBSTITUTE(SUBSTITUTE(SUBSTITUTE(SUBSTITUTE(SUBSTITUTE(SUBSTITUTE('Aqui Planilha'!H4,"","0"),"Sn","0"),"SN","0"),"sn","0"),"sN","0"),"S/N","0")," ","")</f>
        <v>0</v>
      </c>
      <c r="I4" s="45" t="str">
        <f>UPPER(ACENTO('Aqui Planilha'!I4))</f>
        <v/>
      </c>
      <c r="J4" s="45" t="str">
        <f>UPPER(ACENTO('Aqui Planilha'!J4))</f>
        <v>CUNHATAI</v>
      </c>
      <c r="K4" s="45" t="str">
        <f>SUBSTITUTE(UPPER(ACENTO('Aqui Planilha'!K4)), " ", "")</f>
        <v>SC</v>
      </c>
      <c r="L4" s="49" t="str">
        <f>(REPT("0",11-LEN(FormulaOcult!L4))&amp;FormulaOcult!L4)</f>
        <v>10233977902</v>
      </c>
      <c r="M4" s="48" t="str">
        <f>SUBSTITUTE(SUBSTITUTE(SUBSTITUTE(SUBSTITUTE(SUBSTITUTE('Aqui Planilha'!M4, ".", ""), "-",""), ";", ""), ":", ""), " ", "")</f>
        <v>6095687</v>
      </c>
      <c r="N4" s="47">
        <f>VALUE(SUBSTITUTE(SUBSTITUTE(SUBSTITUTE(SUBSTITUTE(SUBSTITUTE('Aqui Planilha'!N4, ".", "/"), "-","/"), ";", "/"), ":", "/"), "/", "/"))</f>
        <v>39658</v>
      </c>
      <c r="O4" s="45" t="str">
        <f>SUBSTITUTE(SUBSTITUTE(SUBSTITUTE(UPPER(ACENTO('Aqui Planilha'!O4)), "/MG", ""), "/SC", ""), "/RS", "")</f>
        <v>SSP</v>
      </c>
      <c r="P4" s="45" t="str">
        <f>SUBSTITUTE(UPPER(ACENTO('Aqui Planilha'!P4)), " ", "")</f>
        <v>SC</v>
      </c>
      <c r="Q4" s="44" t="str">
        <f>SUBSTITUTE('Aqui Planilha'!Q4, " ", "")</f>
        <v/>
      </c>
      <c r="R4" s="45" t="str">
        <f>UPPER(ACENTO('Aqui Planilha'!R4))</f>
        <v/>
      </c>
      <c r="S4" s="50" t="str">
        <f>SUBSTITUTE(SUBSTITUTE(SUBSTITUTE(SUBSTITUTE('Aqui Planilha'!S4, ".", ""), "-",""), ";", ""), ":", "")</f>
        <v/>
      </c>
      <c r="T4" s="50" t="str">
        <f>SUBSTITUTE(SUBSTITUTE(SUBSTITUTE(SUBSTITUTE('Aqui Planilha'!T4, ".", ""), "-",""), ";", ""), ":", "")</f>
        <v>748</v>
      </c>
      <c r="U4" s="62" t="str">
        <f>(REPT("0",4-LEN(SUBSTITUTE(SUBSTITUTE(SUBSTITUTE(SUBSTITUTE('Aqui Planilha'!U4,".",""),"-",""),";",""),":","")))) &amp; 'Aqui Planilha'!U4</f>
        <v>0230</v>
      </c>
      <c r="V4" s="50" t="str">
        <f>SUBSTITUTE(SUBSTITUTE(SUBSTITUTE(SUBSTITUTE('Aqui Planilha'!V4, ".", ""), "-",""), ";", ""), ":", "")</f>
        <v>000740581</v>
      </c>
      <c r="W4" s="62" t="str">
        <f>(REPT("0",2-LEN(SUBSTITUTE(SUBSTITUTE(SUBSTITUTE(SUBSTITUTE('Aqui Planilha'!W4,".",""),"-",""),";",""),":","")))) &amp; 'Aqui Planilha'!W4</f>
        <v>01</v>
      </c>
    </row>
    <row r="5" spans="1:23">
      <c r="A5" s="40" t="str" cm="1">
        <f t="array" ref="A5">UPPER(ACENTO('Aqui Planilha'!A5))</f>
        <v>ELISANDRO LOPES</v>
      </c>
      <c r="B5" s="47">
        <f>VALUE(SUBSTITUTE(SUBSTITUTE(SUBSTITUTE(SUBSTITUTE(SUBSTITUTE('Aqui Planilha'!B5, ".", "/"), "-","/"), ";", "/"), ":", "/"), "/", "/"))</f>
        <v>29005</v>
      </c>
      <c r="C5" s="45" t="str">
        <f>SUBSTITUTE(SUBSTITUTE(UPPER('Aqui Planilha'!C5),"MASCULINO","M"),"FEMININO","F")</f>
        <v>M</v>
      </c>
      <c r="D5" s="48" t="str">
        <f>SUBSTITUTE(SUBSTITUTE(SUBSTITUTE(SUBSTITUTE('Aqui Planilha'!D5, ".", ""), "-",""), ";", ""), ":", "")</f>
        <v>98410000</v>
      </c>
      <c r="E5" s="45" t="str">
        <f>SUBSTITUTE(SUBSTITUTE(UPPER(ACENTO('Aqui Planilha'!E5)),"'",""), ".", "")</f>
        <v>INTERIOR</v>
      </c>
      <c r="F5" s="45" t="str">
        <f>UPPER(ACENTO('Aqui Planilha'!F5))</f>
        <v>LINHA</v>
      </c>
      <c r="G5" s="45" t="str">
        <f>UPPER(ACENTO('Aqui Planilha'!G5))</f>
        <v>BARRA DO FORTALEZA</v>
      </c>
      <c r="H5" s="44" t="str">
        <f>SUBSTITUTE(SUBSTITUTE(SUBSTITUTE(SUBSTITUTE(SUBSTITUTE(SUBSTITUTE(SUBSTITUTE('Aqui Planilha'!H5,"","0"),"Sn","0"),"SN","0"),"sn","0"),"sN","0"),"S/N","0")," ","")</f>
        <v>0</v>
      </c>
      <c r="I5" s="45" t="str">
        <f>UPPER(ACENTO('Aqui Planilha'!I5))</f>
        <v/>
      </c>
      <c r="J5" s="45" t="str">
        <f>UPPER(ACENTO('Aqui Planilha'!J5))</f>
        <v>TAQUARUCU DO SUL</v>
      </c>
      <c r="K5" s="45" t="str">
        <f>SUBSTITUTE(UPPER(ACENTO('Aqui Planilha'!K5)), " ", "")</f>
        <v>RS</v>
      </c>
      <c r="L5" s="49" t="str">
        <f>(REPT("0",11-LEN(FormulaOcult!L5))&amp;FormulaOcult!L5)</f>
        <v>00550087044</v>
      </c>
      <c r="M5" s="48" t="str">
        <f>SUBSTITUTE(SUBSTITUTE(SUBSTITUTE(SUBSTITUTE(SUBSTITUTE('Aqui Planilha'!M5, ".", ""), "-",""), ";", ""), ":", ""), " ", "")</f>
        <v>4087596062</v>
      </c>
      <c r="N5" s="47">
        <f>VALUE(SUBSTITUTE(SUBSTITUTE(SUBSTITUTE(SUBSTITUTE(SUBSTITUTE('Aqui Planilha'!N5, ".", "/"), "-","/"), ";", "/"), ":", "/"), "/", "/"))</f>
        <v>42232</v>
      </c>
      <c r="O5" s="45" t="str">
        <f>SUBSTITUTE(SUBSTITUTE(SUBSTITUTE(UPPER(ACENTO('Aqui Planilha'!O5)), "/MG", ""), "/SC", ""), "/RS", "")</f>
        <v>SJS</v>
      </c>
      <c r="P5" s="45" t="str">
        <f>SUBSTITUTE(UPPER(ACENTO('Aqui Planilha'!P5)), " ", "")</f>
        <v>RS</v>
      </c>
      <c r="Q5" s="44" t="str">
        <f>SUBSTITUTE('Aqui Planilha'!Q5, " ", "")</f>
        <v/>
      </c>
      <c r="R5" s="45" t="str">
        <f>UPPER(ACENTO('Aqui Planilha'!R5))</f>
        <v/>
      </c>
      <c r="S5" s="50" t="str">
        <f>SUBSTITUTE(SUBSTITUTE(SUBSTITUTE(SUBSTITUTE('Aqui Planilha'!S5, ".", ""), "-",""), ";", ""), ":", "")</f>
        <v/>
      </c>
      <c r="T5" s="50" t="str">
        <f>SUBSTITUTE(SUBSTITUTE(SUBSTITUTE(SUBSTITUTE('Aqui Planilha'!T5, ".", ""), "-",""), ";", ""), ":", "")</f>
        <v>041</v>
      </c>
      <c r="U5" s="62" t="str">
        <f>(REPT("0",4-LEN(SUBSTITUTE(SUBSTITUTE(SUBSTITUTE(SUBSTITUTE('Aqui Planilha'!U5,".",""),"-",""),";",""),":","")))) &amp; 'Aqui Planilha'!U5</f>
        <v>0630</v>
      </c>
      <c r="V5" s="50" t="str">
        <f>SUBSTITUTE(SUBSTITUTE(SUBSTITUTE(SUBSTITUTE('Aqui Planilha'!V5, ".", ""), "-",""), ";", ""), ":", "")</f>
        <v>3906970201</v>
      </c>
      <c r="W5" s="62" t="str">
        <f>(REPT("0",2-LEN(SUBSTITUTE(SUBSTITUTE(SUBSTITUTE(SUBSTITUTE('Aqui Planilha'!W5,".",""),"-",""),";",""),":","")))) &amp; 'Aqui Planilha'!W5</f>
        <v>02</v>
      </c>
    </row>
    <row r="6" spans="1:23">
      <c r="A6" s="40" t="str" cm="1">
        <f t="array" ref="A6">UPPER(ACENTO('Aqui Planilha'!A6))</f>
        <v/>
      </c>
      <c r="B6" s="47" t="e">
        <f>VALUE(SUBSTITUTE(SUBSTITUTE(SUBSTITUTE(SUBSTITUTE(SUBSTITUTE('Aqui Planilha'!B6, ".", "/"), "-","/"), ";", "/"), ":", "/"), "/", "/"))</f>
        <v>#VALUE!</v>
      </c>
      <c r="C6" s="45" t="str">
        <f>SUBSTITUTE(SUBSTITUTE(UPPER('Aqui Planilha'!C6),"MASCULINO","M"),"FEMININO","F")</f>
        <v/>
      </c>
      <c r="D6" s="48" t="str">
        <f>SUBSTITUTE(SUBSTITUTE(SUBSTITUTE(SUBSTITUTE('Aqui Planilha'!D6, ".", ""), "-",""), ";", ""), ":", "")</f>
        <v/>
      </c>
      <c r="E6" s="45" t="str">
        <f>SUBSTITUTE(SUBSTITUTE(UPPER(ACENTO('Aqui Planilha'!E6)),"'",""), ".", "")</f>
        <v/>
      </c>
      <c r="F6" s="45" t="str">
        <f>UPPER(ACENTO('Aqui Planilha'!F6))</f>
        <v/>
      </c>
      <c r="G6" s="45" t="str">
        <f>UPPER(ACENTO('Aqui Planilha'!G6))</f>
        <v/>
      </c>
      <c r="H6" s="44" t="str">
        <f>SUBSTITUTE(SUBSTITUTE(SUBSTITUTE(SUBSTITUTE(SUBSTITUTE(SUBSTITUTE(SUBSTITUTE('Aqui Planilha'!H6,"","0"),"Sn","0"),"SN","0"),"sn","0"),"sN","0"),"S/N","0")," ","")</f>
        <v/>
      </c>
      <c r="I6" s="45" t="str">
        <f>UPPER(ACENTO('Aqui Planilha'!I6))</f>
        <v/>
      </c>
      <c r="J6" s="45" t="str">
        <f>UPPER(ACENTO('Aqui Planilha'!J6))</f>
        <v/>
      </c>
      <c r="K6" s="45" t="str">
        <f>SUBSTITUTE(UPPER(ACENTO('Aqui Planilha'!K6)), " ", "")</f>
        <v/>
      </c>
      <c r="L6" s="49" t="e">
        <f>(REPT("0",11-LEN(FormulaOcult!L6))&amp;FormulaOcult!L6)</f>
        <v>#VALUE!</v>
      </c>
      <c r="M6" s="48" t="str">
        <f>SUBSTITUTE(SUBSTITUTE(SUBSTITUTE(SUBSTITUTE(SUBSTITUTE('Aqui Planilha'!M6, ".", ""), "-",""), ";", ""), ":", ""), " ", "")</f>
        <v/>
      </c>
      <c r="N6" s="47" t="e">
        <f>VALUE(SUBSTITUTE(SUBSTITUTE(SUBSTITUTE(SUBSTITUTE(SUBSTITUTE('Aqui Planilha'!N6, ".", "/"), "-","/"), ";", "/"), ":", "/"), "/", "/"))</f>
        <v>#VALUE!</v>
      </c>
      <c r="O6" s="45" t="str">
        <f>SUBSTITUTE(SUBSTITUTE(SUBSTITUTE(UPPER(ACENTO('Aqui Planilha'!O6)), "/MG", ""), "/SC", ""), "/RS", "")</f>
        <v/>
      </c>
      <c r="P6" s="45" t="str">
        <f>SUBSTITUTE(UPPER(ACENTO('Aqui Planilha'!P6)), " ", "")</f>
        <v/>
      </c>
      <c r="Q6" s="44" t="str">
        <f>SUBSTITUTE('Aqui Planilha'!Q6, " ", "")</f>
        <v/>
      </c>
      <c r="R6" s="45" t="str">
        <f>UPPER(ACENTO('Aqui Planilha'!R6))</f>
        <v/>
      </c>
      <c r="S6" s="50" t="str">
        <f>SUBSTITUTE(SUBSTITUTE(SUBSTITUTE(SUBSTITUTE('Aqui Planilha'!S6, ".", ""), "-",""), ";", ""), ":", "")</f>
        <v/>
      </c>
      <c r="T6" s="50" t="str">
        <f>SUBSTITUTE(SUBSTITUTE(SUBSTITUTE(SUBSTITUTE('Aqui Planilha'!T6, ".", ""), "-",""), ";", ""), ":", "")</f>
        <v/>
      </c>
      <c r="U6" s="62" t="str">
        <f>(REPT("0",4-LEN(SUBSTITUTE(SUBSTITUTE(SUBSTITUTE(SUBSTITUTE('Aqui Planilha'!U6,".",""),"-",""),";",""),":","")))) &amp; 'Aqui Planilha'!U6</f>
        <v>0000</v>
      </c>
      <c r="V6" s="50" t="str">
        <f>SUBSTITUTE(SUBSTITUTE(SUBSTITUTE(SUBSTITUTE('Aqui Planilha'!V6, ".", ""), "-",""), ";", ""), ":", "")</f>
        <v/>
      </c>
      <c r="W6" s="62" t="str">
        <f>(REPT("0",2-LEN(SUBSTITUTE(SUBSTITUTE(SUBSTITUTE(SUBSTITUTE('Aqui Planilha'!W6,".",""),"-",""),";",""),":","")))) &amp; 'Aqui Planilha'!W6</f>
        <v>00</v>
      </c>
    </row>
    <row r="7" spans="1:23">
      <c r="A7" s="40" t="str" cm="1">
        <f t="array" ref="A7">UPPER(ACENTO('Aqui Planilha'!A7))</f>
        <v/>
      </c>
      <c r="B7" s="47" t="e">
        <f>VALUE(SUBSTITUTE(SUBSTITUTE(SUBSTITUTE(SUBSTITUTE(SUBSTITUTE('Aqui Planilha'!B7, ".", "/"), "-","/"), ";", "/"), ":", "/"), "/", "/"))</f>
        <v>#VALUE!</v>
      </c>
      <c r="C7" s="45" t="str">
        <f>SUBSTITUTE(SUBSTITUTE(UPPER('Aqui Planilha'!C7),"MASCULINO","M"),"FEMININO","F")</f>
        <v/>
      </c>
      <c r="D7" s="48" t="str">
        <f>SUBSTITUTE(SUBSTITUTE(SUBSTITUTE(SUBSTITUTE('Aqui Planilha'!D7, ".", ""), "-",""), ";", ""), ":", "")</f>
        <v/>
      </c>
      <c r="E7" s="45" t="str">
        <f>SUBSTITUTE(SUBSTITUTE(UPPER(ACENTO('Aqui Planilha'!E7)),"'",""), ".", "")</f>
        <v/>
      </c>
      <c r="F7" s="45" t="str">
        <f>UPPER(ACENTO('Aqui Planilha'!F7))</f>
        <v/>
      </c>
      <c r="G7" s="45" t="str">
        <f>UPPER(ACENTO('Aqui Planilha'!G7))</f>
        <v/>
      </c>
      <c r="H7" s="44" t="str">
        <f>SUBSTITUTE(SUBSTITUTE(SUBSTITUTE(SUBSTITUTE(SUBSTITUTE(SUBSTITUTE(SUBSTITUTE('Aqui Planilha'!H7,"","0"),"Sn","0"),"SN","0"),"sn","0"),"sN","0"),"S/N","0")," ","")</f>
        <v/>
      </c>
      <c r="I7" s="45" t="str">
        <f>UPPER(ACENTO('Aqui Planilha'!I7))</f>
        <v/>
      </c>
      <c r="J7" s="45" t="str">
        <f>UPPER(ACENTO('Aqui Planilha'!J7))</f>
        <v/>
      </c>
      <c r="K7" s="45" t="str">
        <f>SUBSTITUTE(UPPER(ACENTO('Aqui Planilha'!K7)), " ", "")</f>
        <v/>
      </c>
      <c r="L7" s="49" t="e">
        <f>(REPT("0",11-LEN(FormulaOcult!L7))&amp;FormulaOcult!L7)</f>
        <v>#VALUE!</v>
      </c>
      <c r="M7" s="48" t="str">
        <f>SUBSTITUTE(SUBSTITUTE(SUBSTITUTE(SUBSTITUTE(SUBSTITUTE('Aqui Planilha'!M7, ".", ""), "-",""), ";", ""), ":", ""), " ", "")</f>
        <v/>
      </c>
      <c r="N7" s="47" t="e">
        <f>VALUE(SUBSTITUTE(SUBSTITUTE(SUBSTITUTE(SUBSTITUTE(SUBSTITUTE('Aqui Planilha'!N7, ".", "/"), "-","/"), ";", "/"), ":", "/"), "/", "/"))</f>
        <v>#VALUE!</v>
      </c>
      <c r="O7" s="45" t="str">
        <f>SUBSTITUTE(SUBSTITUTE(SUBSTITUTE(UPPER(ACENTO('Aqui Planilha'!O7)), "/MG", ""), "/SC", ""), "/RS", "")</f>
        <v/>
      </c>
      <c r="P7" s="45" t="str">
        <f>SUBSTITUTE(UPPER(ACENTO('Aqui Planilha'!P7)), " ", "")</f>
        <v/>
      </c>
      <c r="Q7" s="44" t="str">
        <f>SUBSTITUTE('Aqui Planilha'!Q7, " ", "")</f>
        <v/>
      </c>
      <c r="R7" s="45" t="str">
        <f>UPPER(ACENTO('Aqui Planilha'!R7))</f>
        <v/>
      </c>
      <c r="S7" s="50" t="str">
        <f>SUBSTITUTE(SUBSTITUTE(SUBSTITUTE(SUBSTITUTE('Aqui Planilha'!S7, ".", ""), "-",""), ";", ""), ":", "")</f>
        <v/>
      </c>
      <c r="T7" s="50" t="str">
        <f>SUBSTITUTE(SUBSTITUTE(SUBSTITUTE(SUBSTITUTE('Aqui Planilha'!T7, ".", ""), "-",""), ";", ""), ":", "")</f>
        <v/>
      </c>
      <c r="U7" s="62" t="str">
        <f>(REPT("0",4-LEN(SUBSTITUTE(SUBSTITUTE(SUBSTITUTE(SUBSTITUTE('Aqui Planilha'!U7,".",""),"-",""),";",""),":","")))) &amp; 'Aqui Planilha'!U7</f>
        <v>0000</v>
      </c>
      <c r="V7" s="50" t="str">
        <f>SUBSTITUTE(SUBSTITUTE(SUBSTITUTE(SUBSTITUTE('Aqui Planilha'!V7, ".", ""), "-",""), ";", ""), ":", "")</f>
        <v/>
      </c>
      <c r="W7" s="62" t="str">
        <f>(REPT("0",2-LEN(SUBSTITUTE(SUBSTITUTE(SUBSTITUTE(SUBSTITUTE('Aqui Planilha'!W7,".",""),"-",""),";",""),":","")))) &amp; 'Aqui Planilha'!W7</f>
        <v>00</v>
      </c>
    </row>
    <row r="8" spans="1:23">
      <c r="A8" s="40" t="str" cm="1">
        <f t="array" ref="A8">UPPER(ACENTO('Aqui Planilha'!A8))</f>
        <v/>
      </c>
      <c r="B8" s="47" t="e">
        <f>VALUE(SUBSTITUTE(SUBSTITUTE(SUBSTITUTE(SUBSTITUTE(SUBSTITUTE('Aqui Planilha'!B8, ".", "/"), "-","/"), ";", "/"), ":", "/"), "/", "/"))</f>
        <v>#VALUE!</v>
      </c>
      <c r="C8" s="45" t="str">
        <f>SUBSTITUTE(SUBSTITUTE(UPPER('Aqui Planilha'!C8),"MASCULINO","M"),"FEMININO","F")</f>
        <v/>
      </c>
      <c r="D8" s="48" t="str">
        <f>SUBSTITUTE(SUBSTITUTE(SUBSTITUTE(SUBSTITUTE('Aqui Planilha'!D8, ".", ""), "-",""), ";", ""), ":", "")</f>
        <v/>
      </c>
      <c r="E8" s="45" t="str">
        <f>SUBSTITUTE(SUBSTITUTE(UPPER(ACENTO('Aqui Planilha'!E8)),"'",""), ".", "")</f>
        <v/>
      </c>
      <c r="F8" s="45" t="str">
        <f>UPPER(ACENTO('Aqui Planilha'!F8))</f>
        <v/>
      </c>
      <c r="G8" s="45" t="str">
        <f>UPPER(ACENTO('Aqui Planilha'!G8))</f>
        <v/>
      </c>
      <c r="H8" s="44" t="str">
        <f>SUBSTITUTE(SUBSTITUTE(SUBSTITUTE(SUBSTITUTE(SUBSTITUTE(SUBSTITUTE(SUBSTITUTE('Aqui Planilha'!H8,"","0"),"Sn","0"),"SN","0"),"sn","0"),"sN","0"),"S/N","0")," ","")</f>
        <v/>
      </c>
      <c r="I8" s="45" t="str">
        <f>UPPER(ACENTO('Aqui Planilha'!I8))</f>
        <v/>
      </c>
      <c r="J8" s="45" t="str">
        <f>UPPER(ACENTO('Aqui Planilha'!J8))</f>
        <v/>
      </c>
      <c r="K8" s="45" t="str">
        <f>SUBSTITUTE(UPPER(ACENTO('Aqui Planilha'!K8)), " ", "")</f>
        <v/>
      </c>
      <c r="L8" s="49" t="e">
        <f>(REPT("0",11-LEN(FormulaOcult!L8))&amp;FormulaOcult!L8)</f>
        <v>#VALUE!</v>
      </c>
      <c r="M8" s="48" t="str">
        <f>SUBSTITUTE(SUBSTITUTE(SUBSTITUTE(SUBSTITUTE(SUBSTITUTE('Aqui Planilha'!M8, ".", ""), "-",""), ";", ""), ":", ""), " ", "")</f>
        <v/>
      </c>
      <c r="N8" s="47" t="e">
        <f>VALUE(SUBSTITUTE(SUBSTITUTE(SUBSTITUTE(SUBSTITUTE(SUBSTITUTE('Aqui Planilha'!N8, ".", "/"), "-","/"), ";", "/"), ":", "/"), "/", "/"))</f>
        <v>#VALUE!</v>
      </c>
      <c r="O8" s="45" t="str">
        <f>SUBSTITUTE(SUBSTITUTE(SUBSTITUTE(UPPER(ACENTO('Aqui Planilha'!O8)), "/MG", ""), "/SC", ""), "/RS", "")</f>
        <v/>
      </c>
      <c r="P8" s="45" t="str">
        <f>SUBSTITUTE(UPPER(ACENTO('Aqui Planilha'!P8)), " ", "")</f>
        <v/>
      </c>
      <c r="Q8" s="44" t="str">
        <f>SUBSTITUTE('Aqui Planilha'!Q8, " ", "")</f>
        <v/>
      </c>
      <c r="R8" s="45" t="str">
        <f>UPPER(ACENTO('Aqui Planilha'!R8))</f>
        <v/>
      </c>
      <c r="S8" s="50" t="str">
        <f>SUBSTITUTE(SUBSTITUTE(SUBSTITUTE(SUBSTITUTE('Aqui Planilha'!S8, ".", ""), "-",""), ";", ""), ":", "")</f>
        <v/>
      </c>
      <c r="T8" s="50" t="str">
        <f>SUBSTITUTE(SUBSTITUTE(SUBSTITUTE(SUBSTITUTE('Aqui Planilha'!T8, ".", ""), "-",""), ";", ""), ":", "")</f>
        <v/>
      </c>
      <c r="U8" s="62" t="str">
        <f>(REPT("0",4-LEN(SUBSTITUTE(SUBSTITUTE(SUBSTITUTE(SUBSTITUTE('Aqui Planilha'!U8,".",""),"-",""),";",""),":","")))) &amp; 'Aqui Planilha'!U8</f>
        <v>0000</v>
      </c>
      <c r="V8" s="50" t="str">
        <f>SUBSTITUTE(SUBSTITUTE(SUBSTITUTE(SUBSTITUTE('Aqui Planilha'!V8, ".", ""), "-",""), ";", ""), ":", "")</f>
        <v/>
      </c>
      <c r="W8" s="62" t="str">
        <f>(REPT("0",2-LEN(SUBSTITUTE(SUBSTITUTE(SUBSTITUTE(SUBSTITUTE('Aqui Planilha'!W8,".",""),"-",""),";",""),":","")))) &amp; 'Aqui Planilha'!W8</f>
        <v>00</v>
      </c>
    </row>
    <row r="9" spans="1:23" ht="19.5" customHeight="1">
      <c r="A9" s="40" t="str" cm="1">
        <f t="array" ref="A9">UPPER(ACENTO('Aqui Planilha'!A9))</f>
        <v/>
      </c>
      <c r="B9" s="47" t="e">
        <f>VALUE(SUBSTITUTE(SUBSTITUTE(SUBSTITUTE(SUBSTITUTE(SUBSTITUTE('Aqui Planilha'!B9, ".", "/"), "-","/"), ";", "/"), ":", "/"), "/", "/"))</f>
        <v>#VALUE!</v>
      </c>
      <c r="C9" s="45" t="str">
        <f>SUBSTITUTE(SUBSTITUTE(UPPER('Aqui Planilha'!C9),"MASCULINO","M"),"FEMININO","F")</f>
        <v/>
      </c>
      <c r="D9" s="48" t="str">
        <f>SUBSTITUTE(SUBSTITUTE(SUBSTITUTE(SUBSTITUTE('Aqui Planilha'!D9, ".", ""), "-",""), ";", ""), ":", "")</f>
        <v/>
      </c>
      <c r="E9" s="45" t="str">
        <f>SUBSTITUTE(SUBSTITUTE(UPPER(ACENTO('Aqui Planilha'!E9)),"'",""), ".", "")</f>
        <v/>
      </c>
      <c r="F9" s="45" t="str">
        <f>UPPER(ACENTO('Aqui Planilha'!F9))</f>
        <v/>
      </c>
      <c r="G9" s="45" t="str">
        <f>UPPER(ACENTO('Aqui Planilha'!G9))</f>
        <v/>
      </c>
      <c r="H9" s="44" t="str">
        <f>SUBSTITUTE(SUBSTITUTE(SUBSTITUTE(SUBSTITUTE(SUBSTITUTE(SUBSTITUTE(SUBSTITUTE('Aqui Planilha'!H9,"","0"),"Sn","0"),"SN","0"),"sn","0"),"sN","0"),"S/N","0")," ","")</f>
        <v/>
      </c>
      <c r="I9" s="45" t="str">
        <f>UPPER(ACENTO('Aqui Planilha'!I9))</f>
        <v/>
      </c>
      <c r="J9" s="45" t="str">
        <f>UPPER(ACENTO('Aqui Planilha'!J9))</f>
        <v/>
      </c>
      <c r="K9" s="45" t="str">
        <f>SUBSTITUTE(UPPER(ACENTO('Aqui Planilha'!K9)), " ", "")</f>
        <v/>
      </c>
      <c r="L9" s="49" t="e">
        <f>(REPT("0",11-LEN(FormulaOcult!L9))&amp;FormulaOcult!L9)</f>
        <v>#VALUE!</v>
      </c>
      <c r="M9" s="48" t="str">
        <f>SUBSTITUTE(SUBSTITUTE(SUBSTITUTE(SUBSTITUTE(SUBSTITUTE('Aqui Planilha'!M9, ".", ""), "-",""), ";", ""), ":", ""), " ", "")</f>
        <v/>
      </c>
      <c r="N9" s="47" t="e">
        <f>VALUE(SUBSTITUTE(SUBSTITUTE(SUBSTITUTE(SUBSTITUTE(SUBSTITUTE('Aqui Planilha'!N9, ".", "/"), "-","/"), ";", "/"), ":", "/"), "/", "/"))</f>
        <v>#VALUE!</v>
      </c>
      <c r="O9" s="45" t="str">
        <f>SUBSTITUTE(SUBSTITUTE(SUBSTITUTE(UPPER(ACENTO('Aqui Planilha'!O9)), "/MG", ""), "/SC", ""), "/RS", "")</f>
        <v/>
      </c>
      <c r="P9" s="45" t="str">
        <f>SUBSTITUTE(UPPER(ACENTO('Aqui Planilha'!P9)), " ", "")</f>
        <v/>
      </c>
      <c r="Q9" s="44" t="str">
        <f>SUBSTITUTE('Aqui Planilha'!Q9, " ", "")</f>
        <v/>
      </c>
      <c r="R9" s="45" t="str">
        <f>UPPER(ACENTO('Aqui Planilha'!R9))</f>
        <v/>
      </c>
      <c r="S9" s="50" t="str">
        <f>SUBSTITUTE(SUBSTITUTE(SUBSTITUTE(SUBSTITUTE('Aqui Planilha'!S9, ".", ""), "-",""), ";", ""), ":", "")</f>
        <v/>
      </c>
      <c r="T9" s="50" t="str">
        <f>SUBSTITUTE(SUBSTITUTE(SUBSTITUTE(SUBSTITUTE('Aqui Planilha'!T9, ".", ""), "-",""), ";", ""), ":", "")</f>
        <v/>
      </c>
      <c r="U9" s="62" t="str">
        <f>(REPT("0",4-LEN(SUBSTITUTE(SUBSTITUTE(SUBSTITUTE(SUBSTITUTE('Aqui Planilha'!U9,".",""),"-",""),";",""),":","")))) &amp; 'Aqui Planilha'!U9</f>
        <v>0000</v>
      </c>
      <c r="V9" s="50" t="str">
        <f>SUBSTITUTE(SUBSTITUTE(SUBSTITUTE(SUBSTITUTE('Aqui Planilha'!V9, ".", ""), "-",""), ";", ""), ":", "")</f>
        <v/>
      </c>
      <c r="W9" s="62" t="str">
        <f>(REPT("0",2-LEN(SUBSTITUTE(SUBSTITUTE(SUBSTITUTE(SUBSTITUTE('Aqui Planilha'!W9,".",""),"-",""),";",""),":","")))) &amp; 'Aqui Planilha'!W9</f>
        <v>00</v>
      </c>
    </row>
    <row r="10" spans="1:23">
      <c r="A10" s="40" t="str" cm="1">
        <f t="array" ref="A10">UPPER(ACENTO('Aqui Planilha'!A10))</f>
        <v/>
      </c>
      <c r="B10" s="47" t="e">
        <f>VALUE(SUBSTITUTE(SUBSTITUTE(SUBSTITUTE(SUBSTITUTE(SUBSTITUTE('Aqui Planilha'!B10, ".", "/"), "-","/"), ";", "/"), ":", "/"), "/", "/"))</f>
        <v>#VALUE!</v>
      </c>
      <c r="C10" s="45" t="str">
        <f>SUBSTITUTE(SUBSTITUTE(UPPER('Aqui Planilha'!C10),"MASCULINO","M"),"FEMININO","F")</f>
        <v/>
      </c>
      <c r="D10" s="48" t="str">
        <f>SUBSTITUTE(SUBSTITUTE(SUBSTITUTE(SUBSTITUTE('Aqui Planilha'!D10, ".", ""), "-",""), ";", ""), ":", "")</f>
        <v/>
      </c>
      <c r="E10" s="45" t="str">
        <f>SUBSTITUTE(SUBSTITUTE(UPPER(ACENTO('Aqui Planilha'!E10)),"'",""), ".", "")</f>
        <v/>
      </c>
      <c r="F10" s="45" t="str">
        <f>UPPER(ACENTO('Aqui Planilha'!F10))</f>
        <v/>
      </c>
      <c r="G10" s="45" t="str">
        <f>UPPER(ACENTO('Aqui Planilha'!G10))</f>
        <v/>
      </c>
      <c r="H10" s="44" t="str">
        <f>SUBSTITUTE(SUBSTITUTE(SUBSTITUTE(SUBSTITUTE(SUBSTITUTE(SUBSTITUTE(SUBSTITUTE('Aqui Planilha'!H10,"","0"),"Sn","0"),"SN","0"),"sn","0"),"sN","0"),"S/N","0")," ","")</f>
        <v/>
      </c>
      <c r="I10" s="45" t="str">
        <f>UPPER(ACENTO('Aqui Planilha'!I10))</f>
        <v/>
      </c>
      <c r="J10" s="45" t="str">
        <f>UPPER(ACENTO('Aqui Planilha'!J10))</f>
        <v/>
      </c>
      <c r="K10" s="45" t="str">
        <f>SUBSTITUTE(UPPER(ACENTO('Aqui Planilha'!K10)), " ", "")</f>
        <v/>
      </c>
      <c r="L10" s="49" t="e">
        <f>(REPT("0",11-LEN(FormulaOcult!L10))&amp;FormulaOcult!L10)</f>
        <v>#VALUE!</v>
      </c>
      <c r="M10" s="48" t="str">
        <f>SUBSTITUTE(SUBSTITUTE(SUBSTITUTE(SUBSTITUTE(SUBSTITUTE('Aqui Planilha'!M10, ".", ""), "-",""), ";", ""), ":", ""), " ", "")</f>
        <v/>
      </c>
      <c r="N10" s="47" t="e">
        <f>VALUE(SUBSTITUTE(SUBSTITUTE(SUBSTITUTE(SUBSTITUTE(SUBSTITUTE('Aqui Planilha'!N10, ".", "/"), "-","/"), ";", "/"), ":", "/"), "/", "/"))</f>
        <v>#VALUE!</v>
      </c>
      <c r="O10" s="45" t="str">
        <f>SUBSTITUTE(SUBSTITUTE(SUBSTITUTE(UPPER(ACENTO('Aqui Planilha'!O10)), "/MG", ""), "/SC", ""), "/RS", "")</f>
        <v/>
      </c>
      <c r="P10" s="45" t="str">
        <f>SUBSTITUTE(UPPER(ACENTO('Aqui Planilha'!P10)), " ", "")</f>
        <v/>
      </c>
      <c r="Q10" s="44" t="str">
        <f>SUBSTITUTE('Aqui Planilha'!Q10, " ", "")</f>
        <v/>
      </c>
      <c r="R10" s="45" t="str">
        <f>UPPER(ACENTO('Aqui Planilha'!R10))</f>
        <v/>
      </c>
      <c r="S10" s="50" t="str">
        <f>SUBSTITUTE(SUBSTITUTE(SUBSTITUTE(SUBSTITUTE('Aqui Planilha'!S10, ".", ""), "-",""), ";", ""), ":", "")</f>
        <v/>
      </c>
      <c r="T10" s="50" t="str">
        <f>SUBSTITUTE(SUBSTITUTE(SUBSTITUTE(SUBSTITUTE('Aqui Planilha'!T10, ".", ""), "-",""), ";", ""), ":", "")</f>
        <v/>
      </c>
      <c r="U10" s="62" t="str">
        <f>(REPT("0",4-LEN(SUBSTITUTE(SUBSTITUTE(SUBSTITUTE(SUBSTITUTE('Aqui Planilha'!U10,".",""),"-",""),";",""),":","")))) &amp; 'Aqui Planilha'!U10</f>
        <v>0000</v>
      </c>
      <c r="V10" s="50" t="str">
        <f>SUBSTITUTE(SUBSTITUTE(SUBSTITUTE(SUBSTITUTE('Aqui Planilha'!V10, ".", ""), "-",""), ";", ""), ":", "")</f>
        <v/>
      </c>
      <c r="W10" s="62" t="str">
        <f>(REPT("0",2-LEN(SUBSTITUTE(SUBSTITUTE(SUBSTITUTE(SUBSTITUTE('Aqui Planilha'!W10,".",""),"-",""),";",""),":","")))) &amp; 'Aqui Planilha'!W10</f>
        <v>00</v>
      </c>
    </row>
    <row r="11" spans="1:23">
      <c r="A11" s="40" t="str" cm="1">
        <f t="array" ref="A11">UPPER(ACENTO('Aqui Planilha'!A11))</f>
        <v/>
      </c>
      <c r="B11" s="47" t="e">
        <f>VALUE(SUBSTITUTE(SUBSTITUTE(SUBSTITUTE(SUBSTITUTE(SUBSTITUTE('Aqui Planilha'!B11, ".", "/"), "-","/"), ";", "/"), ":", "/"), "/", "/"))</f>
        <v>#VALUE!</v>
      </c>
      <c r="C11" s="45" t="str">
        <f>SUBSTITUTE(SUBSTITUTE(UPPER('Aqui Planilha'!C11),"MASCULINO","M"),"FEMININO","F")</f>
        <v/>
      </c>
      <c r="D11" s="48" t="str">
        <f>SUBSTITUTE(SUBSTITUTE(SUBSTITUTE(SUBSTITUTE('Aqui Planilha'!D11, ".", ""), "-",""), ";", ""), ":", "")</f>
        <v/>
      </c>
      <c r="E11" s="45" t="str">
        <f>SUBSTITUTE(SUBSTITUTE(UPPER(ACENTO('Aqui Planilha'!E11)),"'",""), ".", "")</f>
        <v/>
      </c>
      <c r="F11" s="45" t="str">
        <f>UPPER(ACENTO('Aqui Planilha'!F11))</f>
        <v/>
      </c>
      <c r="G11" s="45" t="str">
        <f>UPPER(ACENTO('Aqui Planilha'!G11))</f>
        <v/>
      </c>
      <c r="H11" s="44" t="str">
        <f>SUBSTITUTE(SUBSTITUTE(SUBSTITUTE(SUBSTITUTE(SUBSTITUTE(SUBSTITUTE(SUBSTITUTE('Aqui Planilha'!H11,"","0"),"Sn","0"),"SN","0"),"sn","0"),"sN","0"),"S/N","0")," ","")</f>
        <v/>
      </c>
      <c r="I11" s="45" t="str">
        <f>UPPER(ACENTO('Aqui Planilha'!I11))</f>
        <v/>
      </c>
      <c r="J11" s="45" t="str">
        <f>UPPER(ACENTO('Aqui Planilha'!J11))</f>
        <v/>
      </c>
      <c r="K11" s="45" t="str">
        <f>SUBSTITUTE(UPPER(ACENTO('Aqui Planilha'!K11)), " ", "")</f>
        <v/>
      </c>
      <c r="L11" s="49" t="e">
        <f>(REPT("0",11-LEN(FormulaOcult!L11))&amp;FormulaOcult!L11)</f>
        <v>#VALUE!</v>
      </c>
      <c r="M11" s="48" t="str">
        <f>SUBSTITUTE(SUBSTITUTE(SUBSTITUTE(SUBSTITUTE(SUBSTITUTE('Aqui Planilha'!M11, ".", ""), "-",""), ";", ""), ":", ""), " ", "")</f>
        <v/>
      </c>
      <c r="N11" s="47" t="e">
        <f>VALUE(SUBSTITUTE(SUBSTITUTE(SUBSTITUTE(SUBSTITUTE(SUBSTITUTE('Aqui Planilha'!N11, ".", "/"), "-","/"), ";", "/"), ":", "/"), "/", "/"))</f>
        <v>#VALUE!</v>
      </c>
      <c r="O11" s="45" t="str">
        <f>SUBSTITUTE(SUBSTITUTE(SUBSTITUTE(UPPER(ACENTO('Aqui Planilha'!O11)), "/MG", ""), "/SC", ""), "/RS", "")</f>
        <v/>
      </c>
      <c r="P11" s="45" t="str">
        <f>SUBSTITUTE(UPPER(ACENTO('Aqui Planilha'!P11)), " ", "")</f>
        <v/>
      </c>
      <c r="Q11" s="44" t="str">
        <f>SUBSTITUTE('Aqui Planilha'!Q11, " ", "")</f>
        <v/>
      </c>
      <c r="R11" s="45" t="str">
        <f>UPPER(ACENTO('Aqui Planilha'!R11))</f>
        <v/>
      </c>
      <c r="S11" s="50" t="str">
        <f>SUBSTITUTE(SUBSTITUTE(SUBSTITUTE(SUBSTITUTE('Aqui Planilha'!S11, ".", ""), "-",""), ";", ""), ":", "")</f>
        <v/>
      </c>
      <c r="T11" s="50" t="str">
        <f>SUBSTITUTE(SUBSTITUTE(SUBSTITUTE(SUBSTITUTE('Aqui Planilha'!T11, ".", ""), "-",""), ";", ""), ":", "")</f>
        <v/>
      </c>
      <c r="U11" s="62" t="str">
        <f>(REPT("0",4-LEN(SUBSTITUTE(SUBSTITUTE(SUBSTITUTE(SUBSTITUTE('Aqui Planilha'!U11,".",""),"-",""),";",""),":","")))) &amp; 'Aqui Planilha'!U11</f>
        <v>0000</v>
      </c>
      <c r="V11" s="50" t="str">
        <f>SUBSTITUTE(SUBSTITUTE(SUBSTITUTE(SUBSTITUTE('Aqui Planilha'!V11, ".", ""), "-",""), ";", ""), ":", "")</f>
        <v/>
      </c>
      <c r="W11" s="62" t="str">
        <f>(REPT("0",2-LEN(SUBSTITUTE(SUBSTITUTE(SUBSTITUTE(SUBSTITUTE('Aqui Planilha'!W11,".",""),"-",""),";",""),":","")))) &amp; 'Aqui Planilha'!W11</f>
        <v>00</v>
      </c>
    </row>
    <row r="12" spans="1:23">
      <c r="A12" s="40" t="str" cm="1">
        <f t="array" ref="A12">UPPER(ACENTO('Aqui Planilha'!A12))</f>
        <v/>
      </c>
      <c r="B12" s="47" t="e">
        <f>VALUE(SUBSTITUTE(SUBSTITUTE(SUBSTITUTE(SUBSTITUTE(SUBSTITUTE('Aqui Planilha'!B12, ".", "/"), "-","/"), ";", "/"), ":", "/"), "/", "/"))</f>
        <v>#VALUE!</v>
      </c>
      <c r="C12" s="45" t="str">
        <f>SUBSTITUTE(SUBSTITUTE(UPPER('Aqui Planilha'!C12),"MASCULINO","M"),"FEMININO","F")</f>
        <v/>
      </c>
      <c r="D12" s="48" t="str">
        <f>SUBSTITUTE(SUBSTITUTE(SUBSTITUTE(SUBSTITUTE('Aqui Planilha'!D12, ".", ""), "-",""), ";", ""), ":", "")</f>
        <v/>
      </c>
      <c r="E12" s="45" t="str">
        <f>SUBSTITUTE(SUBSTITUTE(UPPER(ACENTO('Aqui Planilha'!E12)),"'",""), ".", "")</f>
        <v/>
      </c>
      <c r="F12" s="45" t="str">
        <f>UPPER(ACENTO('Aqui Planilha'!F12))</f>
        <v/>
      </c>
      <c r="G12" s="45" t="str">
        <f>UPPER(ACENTO('Aqui Planilha'!G12))</f>
        <v/>
      </c>
      <c r="H12" s="44" t="str">
        <f>SUBSTITUTE(SUBSTITUTE(SUBSTITUTE(SUBSTITUTE(SUBSTITUTE(SUBSTITUTE(SUBSTITUTE('Aqui Planilha'!H12,"","0"),"Sn","0"),"SN","0"),"sn","0"),"sN","0"),"S/N","0")," ","")</f>
        <v/>
      </c>
      <c r="I12" s="45" t="str">
        <f>UPPER(ACENTO('Aqui Planilha'!I12))</f>
        <v/>
      </c>
      <c r="J12" s="45" t="str">
        <f>UPPER(ACENTO('Aqui Planilha'!J12))</f>
        <v/>
      </c>
      <c r="K12" s="45" t="str">
        <f>SUBSTITUTE(UPPER(ACENTO('Aqui Planilha'!K12)), " ", "")</f>
        <v/>
      </c>
      <c r="L12" s="49" t="e">
        <f>(REPT("0",11-LEN(FormulaOcult!L12))&amp;FormulaOcult!L12)</f>
        <v>#VALUE!</v>
      </c>
      <c r="M12" s="48" t="str">
        <f>SUBSTITUTE(SUBSTITUTE(SUBSTITUTE(SUBSTITUTE(SUBSTITUTE('Aqui Planilha'!M12, ".", ""), "-",""), ";", ""), ":", ""), " ", "")</f>
        <v/>
      </c>
      <c r="N12" s="47" t="e">
        <f>VALUE(SUBSTITUTE(SUBSTITUTE(SUBSTITUTE(SUBSTITUTE(SUBSTITUTE('Aqui Planilha'!N12, ".", "/"), "-","/"), ";", "/"), ":", "/"), "/", "/"))</f>
        <v>#VALUE!</v>
      </c>
      <c r="O12" s="45" t="str">
        <f>SUBSTITUTE(SUBSTITUTE(SUBSTITUTE(UPPER(ACENTO('Aqui Planilha'!O12)), "/MG", ""), "/SC", ""), "/RS", "")</f>
        <v/>
      </c>
      <c r="P12" s="45" t="str">
        <f>SUBSTITUTE(UPPER(ACENTO('Aqui Planilha'!P12)), " ", "")</f>
        <v/>
      </c>
      <c r="Q12" s="44" t="str">
        <f>SUBSTITUTE('Aqui Planilha'!Q12, " ", "")</f>
        <v/>
      </c>
      <c r="R12" s="45" t="str">
        <f>UPPER(ACENTO('Aqui Planilha'!R12))</f>
        <v/>
      </c>
      <c r="S12" s="50" t="str">
        <f>SUBSTITUTE(SUBSTITUTE(SUBSTITUTE(SUBSTITUTE('Aqui Planilha'!S12, ".", ""), "-",""), ";", ""), ":", "")</f>
        <v/>
      </c>
      <c r="T12" s="50" t="str">
        <f>SUBSTITUTE(SUBSTITUTE(SUBSTITUTE(SUBSTITUTE('Aqui Planilha'!T12, ".", ""), "-",""), ";", ""), ":", "")</f>
        <v/>
      </c>
      <c r="U12" s="62" t="str">
        <f>(REPT("0",4-LEN(SUBSTITUTE(SUBSTITUTE(SUBSTITUTE(SUBSTITUTE('Aqui Planilha'!U12,".",""),"-",""),";",""),":","")))) &amp; 'Aqui Planilha'!U12</f>
        <v>0000</v>
      </c>
      <c r="V12" s="50" t="str">
        <f>SUBSTITUTE(SUBSTITUTE(SUBSTITUTE(SUBSTITUTE('Aqui Planilha'!V12, ".", ""), "-",""), ";", ""), ":", "")</f>
        <v/>
      </c>
      <c r="W12" s="62" t="str">
        <f>(REPT("0",2-LEN(SUBSTITUTE(SUBSTITUTE(SUBSTITUTE(SUBSTITUTE('Aqui Planilha'!W12,".",""),"-",""),";",""),":","")))) &amp; 'Aqui Planilha'!W12</f>
        <v>00</v>
      </c>
    </row>
    <row r="13" spans="1:23">
      <c r="A13" s="40" t="str" cm="1">
        <f t="array" ref="A13">UPPER(ACENTO('Aqui Planilha'!A13))</f>
        <v/>
      </c>
      <c r="B13" s="47" t="e">
        <f>VALUE(SUBSTITUTE(SUBSTITUTE(SUBSTITUTE(SUBSTITUTE(SUBSTITUTE('Aqui Planilha'!B13, ".", "/"), "-","/"), ";", "/"), ":", "/"), "/", "/"))</f>
        <v>#VALUE!</v>
      </c>
      <c r="C13" s="45" t="str">
        <f>SUBSTITUTE(SUBSTITUTE(UPPER('Aqui Planilha'!C13),"MASCULINO","M"),"FEMININO","F")</f>
        <v/>
      </c>
      <c r="D13" s="48" t="str">
        <f>SUBSTITUTE(SUBSTITUTE(SUBSTITUTE(SUBSTITUTE('Aqui Planilha'!D13, ".", ""), "-",""), ";", ""), ":", "")</f>
        <v/>
      </c>
      <c r="E13" s="45" t="str">
        <f>SUBSTITUTE(SUBSTITUTE(UPPER(ACENTO('Aqui Planilha'!E13)),"'",""), ".", "")</f>
        <v/>
      </c>
      <c r="F13" s="45" t="str">
        <f>UPPER(ACENTO('Aqui Planilha'!F13))</f>
        <v/>
      </c>
      <c r="G13" s="45" t="str">
        <f>UPPER(ACENTO('Aqui Planilha'!G13))</f>
        <v/>
      </c>
      <c r="H13" s="44" t="str">
        <f>SUBSTITUTE(SUBSTITUTE(SUBSTITUTE(SUBSTITUTE(SUBSTITUTE(SUBSTITUTE(SUBSTITUTE('Aqui Planilha'!H13,"","0"),"Sn","0"),"SN","0"),"sn","0"),"sN","0"),"S/N","0")," ","")</f>
        <v/>
      </c>
      <c r="I13" s="45" t="str">
        <f>UPPER(ACENTO('Aqui Planilha'!I13))</f>
        <v/>
      </c>
      <c r="J13" s="45" t="str">
        <f>UPPER(ACENTO('Aqui Planilha'!J13))</f>
        <v/>
      </c>
      <c r="K13" s="45" t="str">
        <f>SUBSTITUTE(UPPER(ACENTO('Aqui Planilha'!K13)), " ", "")</f>
        <v/>
      </c>
      <c r="L13" s="49" t="e">
        <f>(REPT("0",11-LEN(FormulaOcult!L13))&amp;FormulaOcult!L13)</f>
        <v>#VALUE!</v>
      </c>
      <c r="M13" s="48" t="str">
        <f>SUBSTITUTE(SUBSTITUTE(SUBSTITUTE(SUBSTITUTE(SUBSTITUTE('Aqui Planilha'!M13, ".", ""), "-",""), ";", ""), ":", ""), " ", "")</f>
        <v/>
      </c>
      <c r="N13" s="47" t="e">
        <f>VALUE(SUBSTITUTE(SUBSTITUTE(SUBSTITUTE(SUBSTITUTE(SUBSTITUTE('Aqui Planilha'!N13, ".", "/"), "-","/"), ";", "/"), ":", "/"), "/", "/"))</f>
        <v>#VALUE!</v>
      </c>
      <c r="O13" s="45" t="str">
        <f>SUBSTITUTE(SUBSTITUTE(SUBSTITUTE(UPPER(ACENTO('Aqui Planilha'!O13)), "/MG", ""), "/SC", ""), "/RS", "")</f>
        <v/>
      </c>
      <c r="P13" s="45" t="str">
        <f>SUBSTITUTE(UPPER(ACENTO('Aqui Planilha'!P13)), " ", "")</f>
        <v/>
      </c>
      <c r="Q13" s="44" t="str">
        <f>SUBSTITUTE('Aqui Planilha'!Q13, " ", "")</f>
        <v/>
      </c>
      <c r="R13" s="45" t="str">
        <f>UPPER(ACENTO('Aqui Planilha'!R13))</f>
        <v/>
      </c>
      <c r="S13" s="50" t="str">
        <f>SUBSTITUTE(SUBSTITUTE(SUBSTITUTE(SUBSTITUTE('Aqui Planilha'!S13, ".", ""), "-",""), ";", ""), ":", "")</f>
        <v/>
      </c>
      <c r="T13" s="50" t="str">
        <f>SUBSTITUTE(SUBSTITUTE(SUBSTITUTE(SUBSTITUTE('Aqui Planilha'!T13, ".", ""), "-",""), ";", ""), ":", "")</f>
        <v/>
      </c>
      <c r="U13" s="62" t="str">
        <f>(REPT("0",4-LEN(SUBSTITUTE(SUBSTITUTE(SUBSTITUTE(SUBSTITUTE('Aqui Planilha'!U13,".",""),"-",""),";",""),":","")))) &amp; 'Aqui Planilha'!U13</f>
        <v>0000</v>
      </c>
      <c r="V13" s="50" t="str">
        <f>SUBSTITUTE(SUBSTITUTE(SUBSTITUTE(SUBSTITUTE('Aqui Planilha'!V13, ".", ""), "-",""), ";", ""), ":", "")</f>
        <v/>
      </c>
      <c r="W13" s="62" t="str">
        <f>(REPT("0",2-LEN(SUBSTITUTE(SUBSTITUTE(SUBSTITUTE(SUBSTITUTE('Aqui Planilha'!W13,".",""),"-",""),";",""),":","")))) &amp; 'Aqui Planilha'!W13</f>
        <v>00</v>
      </c>
    </row>
    <row r="14" spans="1:23">
      <c r="A14" s="40" t="str" cm="1">
        <f t="array" ref="A14">UPPER(ACENTO('Aqui Planilha'!A14))</f>
        <v/>
      </c>
      <c r="B14" s="47" t="e">
        <f>VALUE(SUBSTITUTE(SUBSTITUTE(SUBSTITUTE(SUBSTITUTE(SUBSTITUTE('Aqui Planilha'!B14, ".", "/"), "-","/"), ";", "/"), ":", "/"), "/", "/"))</f>
        <v>#VALUE!</v>
      </c>
      <c r="C14" s="45" t="str">
        <f>SUBSTITUTE(SUBSTITUTE(UPPER('Aqui Planilha'!C14),"MASCULINO","M"),"FEMININO","F")</f>
        <v/>
      </c>
      <c r="D14" s="48" t="str">
        <f>SUBSTITUTE(SUBSTITUTE(SUBSTITUTE(SUBSTITUTE('Aqui Planilha'!D14, ".", ""), "-",""), ";", ""), ":", "")</f>
        <v/>
      </c>
      <c r="E14" s="45" t="str">
        <f>SUBSTITUTE(SUBSTITUTE(UPPER(ACENTO('Aqui Planilha'!E14)),"'",""), ".", "")</f>
        <v/>
      </c>
      <c r="F14" s="45" t="str">
        <f>UPPER(ACENTO('Aqui Planilha'!F14))</f>
        <v/>
      </c>
      <c r="G14" s="45" t="str">
        <f>UPPER(ACENTO('Aqui Planilha'!G14))</f>
        <v/>
      </c>
      <c r="H14" s="44" t="str">
        <f>SUBSTITUTE(SUBSTITUTE(SUBSTITUTE(SUBSTITUTE(SUBSTITUTE(SUBSTITUTE(SUBSTITUTE('Aqui Planilha'!H14,"","0"),"Sn","0"),"SN","0"),"sn","0"),"sN","0"),"S/N","0")," ","")</f>
        <v/>
      </c>
      <c r="I14" s="45" t="str">
        <f>UPPER(ACENTO('Aqui Planilha'!I14))</f>
        <v/>
      </c>
      <c r="J14" s="45" t="str">
        <f>UPPER(ACENTO('Aqui Planilha'!J14))</f>
        <v/>
      </c>
      <c r="K14" s="45" t="str">
        <f>SUBSTITUTE(UPPER(ACENTO('Aqui Planilha'!K14)), " ", "")</f>
        <v/>
      </c>
      <c r="L14" s="49" t="e">
        <f>(REPT("0",11-LEN(FormulaOcult!L14))&amp;FormulaOcult!L14)</f>
        <v>#VALUE!</v>
      </c>
      <c r="M14" s="48" t="str">
        <f>SUBSTITUTE(SUBSTITUTE(SUBSTITUTE(SUBSTITUTE(SUBSTITUTE('Aqui Planilha'!M14, ".", ""), "-",""), ";", ""), ":", ""), " ", "")</f>
        <v/>
      </c>
      <c r="N14" s="47" t="e">
        <f>VALUE(SUBSTITUTE(SUBSTITUTE(SUBSTITUTE(SUBSTITUTE(SUBSTITUTE('Aqui Planilha'!N14, ".", "/"), "-","/"), ";", "/"), ":", "/"), "/", "/"))</f>
        <v>#VALUE!</v>
      </c>
      <c r="O14" s="45" t="str">
        <f>SUBSTITUTE(SUBSTITUTE(SUBSTITUTE(UPPER(ACENTO('Aqui Planilha'!O14)), "/MG", ""), "/SC", ""), "/RS", "")</f>
        <v/>
      </c>
      <c r="P14" s="45" t="str">
        <f>SUBSTITUTE(UPPER(ACENTO('Aqui Planilha'!P14)), " ", "")</f>
        <v/>
      </c>
      <c r="Q14" s="44" t="str">
        <f>SUBSTITUTE('Aqui Planilha'!Q14, " ", "")</f>
        <v/>
      </c>
      <c r="R14" s="45" t="str">
        <f>UPPER(ACENTO('Aqui Planilha'!R14))</f>
        <v/>
      </c>
      <c r="S14" s="50" t="str">
        <f>SUBSTITUTE(SUBSTITUTE(SUBSTITUTE(SUBSTITUTE('Aqui Planilha'!S14, ".", ""), "-",""), ";", ""), ":", "")</f>
        <v/>
      </c>
      <c r="T14" s="50" t="str">
        <f>SUBSTITUTE(SUBSTITUTE(SUBSTITUTE(SUBSTITUTE('Aqui Planilha'!T14, ".", ""), "-",""), ";", ""), ":", "")</f>
        <v/>
      </c>
      <c r="U14" s="62" t="str">
        <f>(REPT("0",4-LEN(SUBSTITUTE(SUBSTITUTE(SUBSTITUTE(SUBSTITUTE('Aqui Planilha'!U14,".",""),"-",""),";",""),":","")))) &amp; 'Aqui Planilha'!U14</f>
        <v>0000</v>
      </c>
      <c r="V14" s="50" t="str">
        <f>SUBSTITUTE(SUBSTITUTE(SUBSTITUTE(SUBSTITUTE('Aqui Planilha'!V14, ".", ""), "-",""), ";", ""), ":", "")</f>
        <v/>
      </c>
      <c r="W14" s="62" t="str">
        <f>(REPT("0",2-LEN(SUBSTITUTE(SUBSTITUTE(SUBSTITUTE(SUBSTITUTE('Aqui Planilha'!W14,".",""),"-",""),";",""),":","")))) &amp; 'Aqui Planilha'!W14</f>
        <v>00</v>
      </c>
    </row>
    <row r="15" spans="1:23">
      <c r="A15" s="40" t="str" cm="1">
        <f t="array" ref="A15">UPPER(ACENTO('Aqui Planilha'!A15))</f>
        <v/>
      </c>
      <c r="B15" s="47" t="e">
        <f>VALUE(SUBSTITUTE(SUBSTITUTE(SUBSTITUTE(SUBSTITUTE(SUBSTITUTE('Aqui Planilha'!B15, ".", "/"), "-","/"), ";", "/"), ":", "/"), "/", "/"))</f>
        <v>#VALUE!</v>
      </c>
      <c r="C15" s="45" t="str">
        <f>SUBSTITUTE(SUBSTITUTE(UPPER('Aqui Planilha'!C15),"MASCULINO","M"),"FEMININO","F")</f>
        <v/>
      </c>
      <c r="D15" s="48" t="str">
        <f>SUBSTITUTE(SUBSTITUTE(SUBSTITUTE(SUBSTITUTE('Aqui Planilha'!D15, ".", ""), "-",""), ";", ""), ":", "")</f>
        <v/>
      </c>
      <c r="E15" s="45" t="str">
        <f>SUBSTITUTE(SUBSTITUTE(UPPER(ACENTO('Aqui Planilha'!E15)),"'",""), ".", "")</f>
        <v/>
      </c>
      <c r="F15" s="45" t="str">
        <f>UPPER(ACENTO('Aqui Planilha'!F15))</f>
        <v/>
      </c>
      <c r="G15" s="45" t="str">
        <f>UPPER(ACENTO('Aqui Planilha'!G15))</f>
        <v/>
      </c>
      <c r="H15" s="44" t="str">
        <f>SUBSTITUTE(SUBSTITUTE(SUBSTITUTE(SUBSTITUTE(SUBSTITUTE(SUBSTITUTE(SUBSTITUTE('Aqui Planilha'!H15,"","0"),"Sn","0"),"SN","0"),"sn","0"),"sN","0"),"S/N","0")," ","")</f>
        <v/>
      </c>
      <c r="I15" s="45" t="str">
        <f>UPPER(ACENTO('Aqui Planilha'!I15))</f>
        <v/>
      </c>
      <c r="J15" s="45" t="str">
        <f>UPPER(ACENTO('Aqui Planilha'!J15))</f>
        <v/>
      </c>
      <c r="K15" s="45" t="str">
        <f>SUBSTITUTE(UPPER(ACENTO('Aqui Planilha'!K15)), " ", "")</f>
        <v/>
      </c>
      <c r="L15" s="49" t="e">
        <f>(REPT("0",11-LEN(FormulaOcult!L15))&amp;FormulaOcult!L15)</f>
        <v>#VALUE!</v>
      </c>
      <c r="M15" s="48" t="str">
        <f>SUBSTITUTE(SUBSTITUTE(SUBSTITUTE(SUBSTITUTE(SUBSTITUTE('Aqui Planilha'!M15, ".", ""), "-",""), ";", ""), ":", ""), " ", "")</f>
        <v/>
      </c>
      <c r="N15" s="47" t="e">
        <f>VALUE(SUBSTITUTE(SUBSTITUTE(SUBSTITUTE(SUBSTITUTE(SUBSTITUTE('Aqui Planilha'!N15, ".", "/"), "-","/"), ";", "/"), ":", "/"), "/", "/"))</f>
        <v>#VALUE!</v>
      </c>
      <c r="O15" s="45" t="str">
        <f>SUBSTITUTE(SUBSTITUTE(SUBSTITUTE(UPPER(ACENTO('Aqui Planilha'!O15)), "/MG", ""), "/SC", ""), "/RS", "")</f>
        <v/>
      </c>
      <c r="P15" s="45" t="str">
        <f>SUBSTITUTE(UPPER(ACENTO('Aqui Planilha'!P15)), " ", "")</f>
        <v/>
      </c>
      <c r="Q15" s="44" t="str">
        <f>SUBSTITUTE('Aqui Planilha'!Q15, " ", "")</f>
        <v/>
      </c>
      <c r="R15" s="45" t="str">
        <f>UPPER(ACENTO('Aqui Planilha'!R15))</f>
        <v/>
      </c>
      <c r="S15" s="50" t="str">
        <f>SUBSTITUTE(SUBSTITUTE(SUBSTITUTE(SUBSTITUTE('Aqui Planilha'!S15, ".", ""), "-",""), ";", ""), ":", "")</f>
        <v/>
      </c>
      <c r="T15" s="50" t="str">
        <f>SUBSTITUTE(SUBSTITUTE(SUBSTITUTE(SUBSTITUTE('Aqui Planilha'!T15, ".", ""), "-",""), ";", ""), ":", "")</f>
        <v/>
      </c>
      <c r="U15" s="62" t="str">
        <f>(REPT("0",4-LEN(SUBSTITUTE(SUBSTITUTE(SUBSTITUTE(SUBSTITUTE('Aqui Planilha'!U15,".",""),"-",""),";",""),":","")))) &amp; 'Aqui Planilha'!U15</f>
        <v>0000</v>
      </c>
      <c r="V15" s="50" t="str">
        <f>SUBSTITUTE(SUBSTITUTE(SUBSTITUTE(SUBSTITUTE('Aqui Planilha'!V15, ".", ""), "-",""), ";", ""), ":", "")</f>
        <v/>
      </c>
      <c r="W15" s="62" t="str">
        <f>(REPT("0",2-LEN(SUBSTITUTE(SUBSTITUTE(SUBSTITUTE(SUBSTITUTE('Aqui Planilha'!W15,".",""),"-",""),";",""),":","")))) &amp; 'Aqui Planilha'!W15</f>
        <v>00</v>
      </c>
    </row>
    <row r="16" spans="1:23">
      <c r="A16" s="40" t="str" cm="1">
        <f t="array" ref="A16">UPPER(ACENTO('Aqui Planilha'!A16))</f>
        <v/>
      </c>
      <c r="B16" s="47" t="e">
        <f>VALUE(SUBSTITUTE(SUBSTITUTE(SUBSTITUTE(SUBSTITUTE(SUBSTITUTE('Aqui Planilha'!B16, ".", "/"), "-","/"), ";", "/"), ":", "/"), "/", "/"))</f>
        <v>#VALUE!</v>
      </c>
      <c r="C16" s="45" t="str">
        <f>SUBSTITUTE(SUBSTITUTE(UPPER('Aqui Planilha'!C16),"MASCULINO","M"),"FEMININO","F")</f>
        <v/>
      </c>
      <c r="D16" s="48" t="str">
        <f>SUBSTITUTE(SUBSTITUTE(SUBSTITUTE(SUBSTITUTE('Aqui Planilha'!D16, ".", ""), "-",""), ";", ""), ":", "")</f>
        <v/>
      </c>
      <c r="E16" s="45" t="str">
        <f>SUBSTITUTE(SUBSTITUTE(UPPER(ACENTO('Aqui Planilha'!E16)),"'",""), ".", "")</f>
        <v/>
      </c>
      <c r="F16" s="45" t="str">
        <f>UPPER(ACENTO('Aqui Planilha'!F16))</f>
        <v/>
      </c>
      <c r="G16" s="45" t="str">
        <f>UPPER(ACENTO('Aqui Planilha'!G16))</f>
        <v/>
      </c>
      <c r="H16" s="44" t="str">
        <f>SUBSTITUTE(SUBSTITUTE(SUBSTITUTE(SUBSTITUTE(SUBSTITUTE(SUBSTITUTE(SUBSTITUTE('Aqui Planilha'!H16,"","0"),"Sn","0"),"SN","0"),"sn","0"),"sN","0"),"S/N","0")," ","")</f>
        <v/>
      </c>
      <c r="I16" s="45" t="str">
        <f>UPPER(ACENTO('Aqui Planilha'!I16))</f>
        <v/>
      </c>
      <c r="J16" s="45" t="str">
        <f>UPPER(ACENTO('Aqui Planilha'!J16))</f>
        <v/>
      </c>
      <c r="K16" s="45" t="str">
        <f>SUBSTITUTE(UPPER(ACENTO('Aqui Planilha'!K16)), " ", "")</f>
        <v/>
      </c>
      <c r="L16" s="49" t="e">
        <f>(REPT("0",11-LEN(FormulaOcult!L16))&amp;FormulaOcult!L16)</f>
        <v>#VALUE!</v>
      </c>
      <c r="M16" s="48" t="str">
        <f>SUBSTITUTE(SUBSTITUTE(SUBSTITUTE(SUBSTITUTE(SUBSTITUTE('Aqui Planilha'!M16, ".", ""), "-",""), ";", ""), ":", ""), " ", "")</f>
        <v/>
      </c>
      <c r="N16" s="47" t="e">
        <f>VALUE(SUBSTITUTE(SUBSTITUTE(SUBSTITUTE(SUBSTITUTE(SUBSTITUTE('Aqui Planilha'!N16, ".", "/"), "-","/"), ";", "/"), ":", "/"), "/", "/"))</f>
        <v>#VALUE!</v>
      </c>
      <c r="O16" s="45" t="str">
        <f>SUBSTITUTE(SUBSTITUTE(SUBSTITUTE(UPPER(ACENTO('Aqui Planilha'!O16)), "/MG", ""), "/SC", ""), "/RS", "")</f>
        <v/>
      </c>
      <c r="P16" s="45" t="str">
        <f>SUBSTITUTE(UPPER(ACENTO('Aqui Planilha'!P16)), " ", "")</f>
        <v/>
      </c>
      <c r="Q16" s="44" t="str">
        <f>SUBSTITUTE('Aqui Planilha'!Q16, " ", "")</f>
        <v/>
      </c>
      <c r="R16" s="45" t="str">
        <f>UPPER(ACENTO('Aqui Planilha'!R16))</f>
        <v/>
      </c>
      <c r="S16" s="50" t="str">
        <f>SUBSTITUTE(SUBSTITUTE(SUBSTITUTE(SUBSTITUTE('Aqui Planilha'!S16, ".", ""), "-",""), ";", ""), ":", "")</f>
        <v/>
      </c>
      <c r="T16" s="50" t="str">
        <f>SUBSTITUTE(SUBSTITUTE(SUBSTITUTE(SUBSTITUTE('Aqui Planilha'!T16, ".", ""), "-",""), ";", ""), ":", "")</f>
        <v/>
      </c>
      <c r="U16" s="62" t="str">
        <f>(REPT("0",4-LEN(SUBSTITUTE(SUBSTITUTE(SUBSTITUTE(SUBSTITUTE('Aqui Planilha'!U16,".",""),"-",""),";",""),":","")))) &amp; 'Aqui Planilha'!U16</f>
        <v>0000</v>
      </c>
      <c r="V16" s="50" t="str">
        <f>SUBSTITUTE(SUBSTITUTE(SUBSTITUTE(SUBSTITUTE('Aqui Planilha'!V16, ".", ""), "-",""), ";", ""), ":", "")</f>
        <v/>
      </c>
      <c r="W16" s="62" t="str">
        <f>(REPT("0",2-LEN(SUBSTITUTE(SUBSTITUTE(SUBSTITUTE(SUBSTITUTE('Aqui Planilha'!W16,".",""),"-",""),";",""),":","")))) &amp; 'Aqui Planilha'!W16</f>
        <v>00</v>
      </c>
    </row>
    <row r="17" spans="1:23">
      <c r="A17" s="40" t="str" cm="1">
        <f t="array" ref="A17">UPPER(ACENTO('Aqui Planilha'!A17))</f>
        <v/>
      </c>
      <c r="B17" s="47" t="e">
        <f>VALUE(SUBSTITUTE(SUBSTITUTE(SUBSTITUTE(SUBSTITUTE(SUBSTITUTE('Aqui Planilha'!B17, ".", "/"), "-","/"), ";", "/"), ":", "/"), "/", "/"))</f>
        <v>#VALUE!</v>
      </c>
      <c r="C17" s="45" t="str">
        <f>SUBSTITUTE(SUBSTITUTE(UPPER('Aqui Planilha'!C17),"MASCULINO","M"),"FEMININO","F")</f>
        <v/>
      </c>
      <c r="D17" s="48" t="str">
        <f>SUBSTITUTE(SUBSTITUTE(SUBSTITUTE(SUBSTITUTE('Aqui Planilha'!D17, ".", ""), "-",""), ";", ""), ":", "")</f>
        <v/>
      </c>
      <c r="E17" s="45" t="str">
        <f>SUBSTITUTE(SUBSTITUTE(UPPER(ACENTO('Aqui Planilha'!E17)),"'",""), ".", "")</f>
        <v/>
      </c>
      <c r="F17" s="45" t="str">
        <f>UPPER(ACENTO('Aqui Planilha'!F17))</f>
        <v/>
      </c>
      <c r="G17" s="45" t="str">
        <f>UPPER(ACENTO('Aqui Planilha'!G17))</f>
        <v/>
      </c>
      <c r="H17" s="44" t="str">
        <f>SUBSTITUTE(SUBSTITUTE(SUBSTITUTE(SUBSTITUTE(SUBSTITUTE(SUBSTITUTE(SUBSTITUTE('Aqui Planilha'!H17,"","0"),"Sn","0"),"SN","0"),"sn","0"),"sN","0"),"S/N","0")," ","")</f>
        <v/>
      </c>
      <c r="I17" s="45" t="str">
        <f>UPPER(ACENTO('Aqui Planilha'!I17))</f>
        <v/>
      </c>
      <c r="J17" s="45" t="str">
        <f>UPPER(ACENTO('Aqui Planilha'!J17))</f>
        <v/>
      </c>
      <c r="K17" s="45" t="str">
        <f>SUBSTITUTE(UPPER(ACENTO('Aqui Planilha'!K17)), " ", "")</f>
        <v/>
      </c>
      <c r="L17" s="49" t="e">
        <f>(REPT("0",11-LEN(FormulaOcult!L17))&amp;FormulaOcult!L17)</f>
        <v>#VALUE!</v>
      </c>
      <c r="M17" s="48" t="str">
        <f>SUBSTITUTE(SUBSTITUTE(SUBSTITUTE(SUBSTITUTE(SUBSTITUTE('Aqui Planilha'!M17, ".", ""), "-",""), ";", ""), ":", ""), " ", "")</f>
        <v/>
      </c>
      <c r="N17" s="47" t="e">
        <f>VALUE(SUBSTITUTE(SUBSTITUTE(SUBSTITUTE(SUBSTITUTE(SUBSTITUTE('Aqui Planilha'!N17, ".", "/"), "-","/"), ";", "/"), ":", "/"), "/", "/"))</f>
        <v>#VALUE!</v>
      </c>
      <c r="O17" s="45" t="str">
        <f>SUBSTITUTE(SUBSTITUTE(SUBSTITUTE(UPPER(ACENTO('Aqui Planilha'!O17)), "/MG", ""), "/SC", ""), "/RS", "")</f>
        <v/>
      </c>
      <c r="P17" s="45" t="str">
        <f>SUBSTITUTE(UPPER(ACENTO('Aqui Planilha'!P17)), " ", "")</f>
        <v/>
      </c>
      <c r="Q17" s="44" t="str">
        <f>SUBSTITUTE('Aqui Planilha'!Q17, " ", "")</f>
        <v/>
      </c>
      <c r="R17" s="45" t="str">
        <f>UPPER(ACENTO('Aqui Planilha'!R17))</f>
        <v/>
      </c>
      <c r="S17" s="50" t="str">
        <f>SUBSTITUTE(SUBSTITUTE(SUBSTITUTE(SUBSTITUTE('Aqui Planilha'!S17, ".", ""), "-",""), ";", ""), ":", "")</f>
        <v/>
      </c>
      <c r="T17" s="50" t="str">
        <f>SUBSTITUTE(SUBSTITUTE(SUBSTITUTE(SUBSTITUTE('Aqui Planilha'!T17, ".", ""), "-",""), ";", ""), ":", "")</f>
        <v/>
      </c>
      <c r="U17" s="62" t="str">
        <f>(REPT("0",4-LEN(SUBSTITUTE(SUBSTITUTE(SUBSTITUTE(SUBSTITUTE('Aqui Planilha'!U17,".",""),"-",""),";",""),":","")))) &amp; 'Aqui Planilha'!U17</f>
        <v>0000</v>
      </c>
      <c r="V17" s="50" t="str">
        <f>SUBSTITUTE(SUBSTITUTE(SUBSTITUTE(SUBSTITUTE('Aqui Planilha'!V17, ".", ""), "-",""), ";", ""), ":", "")</f>
        <v/>
      </c>
      <c r="W17" s="62" t="str">
        <f>(REPT("0",2-LEN(SUBSTITUTE(SUBSTITUTE(SUBSTITUTE(SUBSTITUTE('Aqui Planilha'!W17,".",""),"-",""),";",""),":","")))) &amp; 'Aqui Planilha'!W17</f>
        <v>00</v>
      </c>
    </row>
    <row r="18" spans="1:23">
      <c r="A18" s="40" t="str" cm="1">
        <f t="array" ref="A18">UPPER(ACENTO('Aqui Planilha'!A18))</f>
        <v/>
      </c>
      <c r="B18" s="47" t="e">
        <f>VALUE(SUBSTITUTE(SUBSTITUTE(SUBSTITUTE(SUBSTITUTE(SUBSTITUTE('Aqui Planilha'!B18, ".", "/"), "-","/"), ";", "/"), ":", "/"), "/", "/"))</f>
        <v>#VALUE!</v>
      </c>
      <c r="C18" s="45" t="str">
        <f>SUBSTITUTE(SUBSTITUTE(UPPER('Aqui Planilha'!C18),"MASCULINO","M"),"FEMININO","F")</f>
        <v/>
      </c>
      <c r="D18" s="48" t="str">
        <f>SUBSTITUTE(SUBSTITUTE(SUBSTITUTE(SUBSTITUTE('Aqui Planilha'!D18, ".", ""), "-",""), ";", ""), ":", "")</f>
        <v/>
      </c>
      <c r="E18" s="45" t="str">
        <f>SUBSTITUTE(SUBSTITUTE(UPPER(ACENTO('Aqui Planilha'!E18)),"'",""), ".", "")</f>
        <v/>
      </c>
      <c r="F18" s="45" t="str">
        <f>UPPER(ACENTO('Aqui Planilha'!F18))</f>
        <v/>
      </c>
      <c r="G18" s="45" t="str">
        <f>UPPER(ACENTO('Aqui Planilha'!G18))</f>
        <v/>
      </c>
      <c r="H18" s="44" t="str">
        <f>SUBSTITUTE(SUBSTITUTE(SUBSTITUTE(SUBSTITUTE(SUBSTITUTE(SUBSTITUTE(SUBSTITUTE('Aqui Planilha'!H18,"","0"),"Sn","0"),"SN","0"),"sn","0"),"sN","0"),"S/N","0")," ","")</f>
        <v/>
      </c>
      <c r="I18" s="45" t="str">
        <f>UPPER(ACENTO('Aqui Planilha'!I18))</f>
        <v/>
      </c>
      <c r="J18" s="45" t="str">
        <f>UPPER(ACENTO('Aqui Planilha'!J18))</f>
        <v/>
      </c>
      <c r="K18" s="45" t="str">
        <f>SUBSTITUTE(UPPER(ACENTO('Aqui Planilha'!K18)), " ", "")</f>
        <v/>
      </c>
      <c r="L18" s="49" t="e">
        <f>(REPT("0",11-LEN(FormulaOcult!L18))&amp;FormulaOcult!L18)</f>
        <v>#VALUE!</v>
      </c>
      <c r="M18" s="48" t="str">
        <f>SUBSTITUTE(SUBSTITUTE(SUBSTITUTE(SUBSTITUTE(SUBSTITUTE('Aqui Planilha'!M18, ".", ""), "-",""), ";", ""), ":", ""), " ", "")</f>
        <v/>
      </c>
      <c r="N18" s="47" t="e">
        <f>VALUE(SUBSTITUTE(SUBSTITUTE(SUBSTITUTE(SUBSTITUTE(SUBSTITUTE('Aqui Planilha'!N18, ".", "/"), "-","/"), ";", "/"), ":", "/"), "/", "/"))</f>
        <v>#VALUE!</v>
      </c>
      <c r="O18" s="45" t="str">
        <f>SUBSTITUTE(SUBSTITUTE(SUBSTITUTE(UPPER(ACENTO('Aqui Planilha'!O18)), "/MG", ""), "/SC", ""), "/RS", "")</f>
        <v/>
      </c>
      <c r="P18" s="45" t="str">
        <f>SUBSTITUTE(UPPER(ACENTO('Aqui Planilha'!P18)), " ", "")</f>
        <v/>
      </c>
      <c r="Q18" s="44" t="str">
        <f>SUBSTITUTE('Aqui Planilha'!Q18, " ", "")</f>
        <v/>
      </c>
      <c r="R18" s="45" t="str">
        <f>UPPER(ACENTO('Aqui Planilha'!R18))</f>
        <v/>
      </c>
      <c r="S18" s="50" t="str">
        <f>SUBSTITUTE(SUBSTITUTE(SUBSTITUTE(SUBSTITUTE('Aqui Planilha'!S18, ".", ""), "-",""), ";", ""), ":", "")</f>
        <v/>
      </c>
      <c r="T18" s="50" t="str">
        <f>SUBSTITUTE(SUBSTITUTE(SUBSTITUTE(SUBSTITUTE('Aqui Planilha'!T18, ".", ""), "-",""), ";", ""), ":", "")</f>
        <v/>
      </c>
      <c r="U18" s="62" t="str">
        <f>(REPT("0",4-LEN(SUBSTITUTE(SUBSTITUTE(SUBSTITUTE(SUBSTITUTE('Aqui Planilha'!U18,".",""),"-",""),";",""),":","")))) &amp; 'Aqui Planilha'!U18</f>
        <v>0000</v>
      </c>
      <c r="V18" s="50" t="str">
        <f>SUBSTITUTE(SUBSTITUTE(SUBSTITUTE(SUBSTITUTE('Aqui Planilha'!V18, ".", ""), "-",""), ";", ""), ":", "")</f>
        <v/>
      </c>
      <c r="W18" s="62" t="str">
        <f>(REPT("0",2-LEN(SUBSTITUTE(SUBSTITUTE(SUBSTITUTE(SUBSTITUTE('Aqui Planilha'!W18,".",""),"-",""),";",""),":","")))) &amp; 'Aqui Planilha'!W18</f>
        <v>00</v>
      </c>
    </row>
    <row r="19" spans="1:23">
      <c r="A19" s="40" t="str" cm="1">
        <f t="array" ref="A19">UPPER(ACENTO('Aqui Planilha'!A19))</f>
        <v/>
      </c>
      <c r="B19" s="47" t="e">
        <f>VALUE(SUBSTITUTE(SUBSTITUTE(SUBSTITUTE(SUBSTITUTE(SUBSTITUTE('Aqui Planilha'!B19, ".", "/"), "-","/"), ";", "/"), ":", "/"), "/", "/"))</f>
        <v>#VALUE!</v>
      </c>
      <c r="C19" s="45" t="str">
        <f>SUBSTITUTE(SUBSTITUTE(UPPER('Aqui Planilha'!C19),"MASCULINO","M"),"FEMININO","F")</f>
        <v/>
      </c>
      <c r="D19" s="48" t="str">
        <f>SUBSTITUTE(SUBSTITUTE(SUBSTITUTE(SUBSTITUTE('Aqui Planilha'!D19, ".", ""), "-",""), ";", ""), ":", "")</f>
        <v/>
      </c>
      <c r="E19" s="45" t="str">
        <f>SUBSTITUTE(SUBSTITUTE(UPPER(ACENTO('Aqui Planilha'!E19)),"'",""), ".", "")</f>
        <v/>
      </c>
      <c r="F19" s="45" t="str">
        <f>UPPER(ACENTO('Aqui Planilha'!F19))</f>
        <v/>
      </c>
      <c r="G19" s="45" t="str">
        <f>UPPER(ACENTO('Aqui Planilha'!G19))</f>
        <v/>
      </c>
      <c r="H19" s="44" t="str">
        <f>SUBSTITUTE(SUBSTITUTE(SUBSTITUTE(SUBSTITUTE(SUBSTITUTE(SUBSTITUTE(SUBSTITUTE('Aqui Planilha'!H19,"","0"),"Sn","0"),"SN","0"),"sn","0"),"sN","0"),"S/N","0")," ","")</f>
        <v/>
      </c>
      <c r="I19" s="45" t="str">
        <f>UPPER(ACENTO('Aqui Planilha'!I19))</f>
        <v/>
      </c>
      <c r="J19" s="45" t="str">
        <f>UPPER(ACENTO('Aqui Planilha'!J19))</f>
        <v/>
      </c>
      <c r="K19" s="45" t="str">
        <f>SUBSTITUTE(UPPER(ACENTO('Aqui Planilha'!K19)), " ", "")</f>
        <v/>
      </c>
      <c r="L19" s="49" t="e">
        <f>(REPT("0",11-LEN(FormulaOcult!L19))&amp;FormulaOcult!L19)</f>
        <v>#VALUE!</v>
      </c>
      <c r="M19" s="48" t="str">
        <f>SUBSTITUTE(SUBSTITUTE(SUBSTITUTE(SUBSTITUTE(SUBSTITUTE('Aqui Planilha'!M19, ".", ""), "-",""), ";", ""), ":", ""), " ", "")</f>
        <v/>
      </c>
      <c r="N19" s="47" t="e">
        <f>VALUE(SUBSTITUTE(SUBSTITUTE(SUBSTITUTE(SUBSTITUTE(SUBSTITUTE('Aqui Planilha'!N19, ".", "/"), "-","/"), ";", "/"), ":", "/"), "/", "/"))</f>
        <v>#VALUE!</v>
      </c>
      <c r="O19" s="45" t="str">
        <f>SUBSTITUTE(SUBSTITUTE(SUBSTITUTE(UPPER(ACENTO('Aqui Planilha'!O19)), "/MG", ""), "/SC", ""), "/RS", "")</f>
        <v/>
      </c>
      <c r="P19" s="45" t="str">
        <f>SUBSTITUTE(UPPER(ACENTO('Aqui Planilha'!P19)), " ", "")</f>
        <v/>
      </c>
      <c r="Q19" s="44" t="str">
        <f>SUBSTITUTE('Aqui Planilha'!Q19, " ", "")</f>
        <v/>
      </c>
      <c r="R19" s="45" t="str">
        <f>UPPER(ACENTO('Aqui Planilha'!R19))</f>
        <v/>
      </c>
      <c r="S19" s="50" t="str">
        <f>SUBSTITUTE(SUBSTITUTE(SUBSTITUTE(SUBSTITUTE('Aqui Planilha'!S19, ".", ""), "-",""), ";", ""), ":", "")</f>
        <v/>
      </c>
      <c r="T19" s="50" t="str">
        <f>SUBSTITUTE(SUBSTITUTE(SUBSTITUTE(SUBSTITUTE('Aqui Planilha'!T19, ".", ""), "-",""), ";", ""), ":", "")</f>
        <v/>
      </c>
      <c r="U19" s="62" t="str">
        <f>(REPT("0",4-LEN(SUBSTITUTE(SUBSTITUTE(SUBSTITUTE(SUBSTITUTE('Aqui Planilha'!U19,".",""),"-",""),";",""),":","")))) &amp; 'Aqui Planilha'!U19</f>
        <v>0000</v>
      </c>
      <c r="V19" s="50" t="str">
        <f>SUBSTITUTE(SUBSTITUTE(SUBSTITUTE(SUBSTITUTE('Aqui Planilha'!V19, ".", ""), "-",""), ";", ""), ":", "")</f>
        <v/>
      </c>
      <c r="W19" s="62" t="str">
        <f>(REPT("0",2-LEN(SUBSTITUTE(SUBSTITUTE(SUBSTITUTE(SUBSTITUTE('Aqui Planilha'!W19,".",""),"-",""),";",""),":","")))) &amp; 'Aqui Planilha'!W19</f>
        <v>00</v>
      </c>
    </row>
    <row r="20" spans="1:23">
      <c r="A20" s="40" t="str" cm="1">
        <f t="array" ref="A20">UPPER(ACENTO('Aqui Planilha'!A20))</f>
        <v/>
      </c>
      <c r="B20" s="47" t="e">
        <f>VALUE(SUBSTITUTE(SUBSTITUTE(SUBSTITUTE(SUBSTITUTE(SUBSTITUTE('Aqui Planilha'!B20, ".", "/"), "-","/"), ";", "/"), ":", "/"), "/", "/"))</f>
        <v>#VALUE!</v>
      </c>
      <c r="C20" s="45" t="str">
        <f>SUBSTITUTE(SUBSTITUTE(UPPER('Aqui Planilha'!C20),"MASCULINO","M"),"FEMININO","F")</f>
        <v/>
      </c>
      <c r="D20" s="48" t="str">
        <f>SUBSTITUTE(SUBSTITUTE(SUBSTITUTE(SUBSTITUTE('Aqui Planilha'!D20, ".", ""), "-",""), ";", ""), ":", "")</f>
        <v/>
      </c>
      <c r="E20" s="45" t="str">
        <f>SUBSTITUTE(SUBSTITUTE(UPPER(ACENTO('Aqui Planilha'!E20)),"'",""), ".", "")</f>
        <v/>
      </c>
      <c r="F20" s="45" t="str">
        <f>UPPER(ACENTO('Aqui Planilha'!F20))</f>
        <v/>
      </c>
      <c r="G20" s="45" t="str">
        <f>UPPER(ACENTO('Aqui Planilha'!G20))</f>
        <v/>
      </c>
      <c r="H20" s="44" t="str">
        <f>SUBSTITUTE(SUBSTITUTE(SUBSTITUTE(SUBSTITUTE(SUBSTITUTE(SUBSTITUTE(SUBSTITUTE('Aqui Planilha'!H20,"","0"),"Sn","0"),"SN","0"),"sn","0"),"sN","0"),"S/N","0")," ","")</f>
        <v/>
      </c>
      <c r="I20" s="45" t="str">
        <f>UPPER(ACENTO('Aqui Planilha'!I20))</f>
        <v/>
      </c>
      <c r="J20" s="45" t="str">
        <f>UPPER(ACENTO('Aqui Planilha'!J20))</f>
        <v/>
      </c>
      <c r="K20" s="45" t="str">
        <f>SUBSTITUTE(UPPER(ACENTO('Aqui Planilha'!K20)), " ", "")</f>
        <v/>
      </c>
      <c r="L20" s="49" t="e">
        <f>(REPT("0",11-LEN(FormulaOcult!L20))&amp;FormulaOcult!L20)</f>
        <v>#VALUE!</v>
      </c>
      <c r="M20" s="48" t="str">
        <f>SUBSTITUTE(SUBSTITUTE(SUBSTITUTE(SUBSTITUTE(SUBSTITUTE('Aqui Planilha'!M20, ".", ""), "-",""), ";", ""), ":", ""), " ", "")</f>
        <v/>
      </c>
      <c r="N20" s="47" t="e">
        <f>VALUE(SUBSTITUTE(SUBSTITUTE(SUBSTITUTE(SUBSTITUTE(SUBSTITUTE('Aqui Planilha'!N20, ".", "/"), "-","/"), ";", "/"), ":", "/"), "/", "/"))</f>
        <v>#VALUE!</v>
      </c>
      <c r="O20" s="45" t="str">
        <f>SUBSTITUTE(SUBSTITUTE(SUBSTITUTE(UPPER(ACENTO('Aqui Planilha'!O20)), "/MG", ""), "/SC", ""), "/RS", "")</f>
        <v/>
      </c>
      <c r="P20" s="45" t="str">
        <f>SUBSTITUTE(UPPER(ACENTO('Aqui Planilha'!P20)), " ", "")</f>
        <v/>
      </c>
      <c r="Q20" s="44" t="str">
        <f>SUBSTITUTE('Aqui Planilha'!Q20, " ", "")</f>
        <v/>
      </c>
      <c r="R20" s="45" t="str">
        <f>UPPER(ACENTO('Aqui Planilha'!R20))</f>
        <v/>
      </c>
      <c r="S20" s="50" t="str">
        <f>SUBSTITUTE(SUBSTITUTE(SUBSTITUTE(SUBSTITUTE('Aqui Planilha'!S20, ".", ""), "-",""), ";", ""), ":", "")</f>
        <v/>
      </c>
      <c r="T20" s="50" t="str">
        <f>SUBSTITUTE(SUBSTITUTE(SUBSTITUTE(SUBSTITUTE('Aqui Planilha'!T20, ".", ""), "-",""), ";", ""), ":", "")</f>
        <v/>
      </c>
      <c r="U20" s="62" t="str">
        <f>(REPT("0",4-LEN(SUBSTITUTE(SUBSTITUTE(SUBSTITUTE(SUBSTITUTE('Aqui Planilha'!U20,".",""),"-",""),";",""),":","")))) &amp; 'Aqui Planilha'!U20</f>
        <v>0000</v>
      </c>
      <c r="V20" s="50" t="str">
        <f>SUBSTITUTE(SUBSTITUTE(SUBSTITUTE(SUBSTITUTE('Aqui Planilha'!V20, ".", ""), "-",""), ";", ""), ":", "")</f>
        <v/>
      </c>
      <c r="W20" s="62" t="str">
        <f>(REPT("0",2-LEN(SUBSTITUTE(SUBSTITUTE(SUBSTITUTE(SUBSTITUTE('Aqui Planilha'!W20,".",""),"-",""),";",""),":","")))) &amp; 'Aqui Planilha'!W20</f>
        <v>00</v>
      </c>
    </row>
    <row r="21" spans="1:23">
      <c r="A21" s="40" t="str" cm="1">
        <f t="array" ref="A21">UPPER(ACENTO('Aqui Planilha'!A21))</f>
        <v/>
      </c>
      <c r="B21" s="47" t="e">
        <f>VALUE(SUBSTITUTE(SUBSTITUTE(SUBSTITUTE(SUBSTITUTE(SUBSTITUTE('Aqui Planilha'!B21, ".", "/"), "-","/"), ";", "/"), ":", "/"), "/", "/"))</f>
        <v>#VALUE!</v>
      </c>
      <c r="C21" s="45" t="str">
        <f>SUBSTITUTE(SUBSTITUTE(UPPER('Aqui Planilha'!C21),"MASCULINO","M"),"FEMININO","F")</f>
        <v/>
      </c>
      <c r="D21" s="48" t="str">
        <f>SUBSTITUTE(SUBSTITUTE(SUBSTITUTE(SUBSTITUTE('Aqui Planilha'!D21, ".", ""), "-",""), ";", ""), ":", "")</f>
        <v/>
      </c>
      <c r="E21" s="45" t="str">
        <f>SUBSTITUTE(SUBSTITUTE(UPPER(ACENTO('Aqui Planilha'!E21)),"'",""), ".", "")</f>
        <v/>
      </c>
      <c r="F21" s="45" t="str">
        <f>UPPER(ACENTO('Aqui Planilha'!F21))</f>
        <v/>
      </c>
      <c r="G21" s="45" t="str">
        <f>UPPER(ACENTO('Aqui Planilha'!G21))</f>
        <v/>
      </c>
      <c r="H21" s="44" t="str">
        <f>SUBSTITUTE(SUBSTITUTE(SUBSTITUTE(SUBSTITUTE(SUBSTITUTE(SUBSTITUTE(SUBSTITUTE('Aqui Planilha'!H21,"","0"),"Sn","0"),"SN","0"),"sn","0"),"sN","0"),"S/N","0")," ","")</f>
        <v/>
      </c>
      <c r="I21" s="45" t="str">
        <f>UPPER(ACENTO('Aqui Planilha'!I21))</f>
        <v/>
      </c>
      <c r="J21" s="45" t="str">
        <f>UPPER(ACENTO('Aqui Planilha'!J21))</f>
        <v/>
      </c>
      <c r="K21" s="45" t="str">
        <f>SUBSTITUTE(UPPER(ACENTO('Aqui Planilha'!K21)), " ", "")</f>
        <v/>
      </c>
      <c r="L21" s="49" t="e">
        <f>(REPT("0",11-LEN(FormulaOcult!L21))&amp;FormulaOcult!L21)</f>
        <v>#VALUE!</v>
      </c>
      <c r="M21" s="48" t="str">
        <f>SUBSTITUTE(SUBSTITUTE(SUBSTITUTE(SUBSTITUTE(SUBSTITUTE('Aqui Planilha'!M21, ".", ""), "-",""), ";", ""), ":", ""), " ", "")</f>
        <v/>
      </c>
      <c r="N21" s="47" t="e">
        <f>VALUE(SUBSTITUTE(SUBSTITUTE(SUBSTITUTE(SUBSTITUTE(SUBSTITUTE('Aqui Planilha'!N21, ".", "/"), "-","/"), ";", "/"), ":", "/"), "/", "/"))</f>
        <v>#VALUE!</v>
      </c>
      <c r="O21" s="45" t="str">
        <f>SUBSTITUTE(SUBSTITUTE(SUBSTITUTE(UPPER(ACENTO('Aqui Planilha'!O21)), "/MG", ""), "/SC", ""), "/RS", "")</f>
        <v/>
      </c>
      <c r="P21" s="45" t="str">
        <f>SUBSTITUTE(UPPER(ACENTO('Aqui Planilha'!P21)), " ", "")</f>
        <v/>
      </c>
      <c r="Q21" s="44" t="str">
        <f>SUBSTITUTE('Aqui Planilha'!Q21, " ", "")</f>
        <v/>
      </c>
      <c r="R21" s="45" t="str">
        <f>UPPER(ACENTO('Aqui Planilha'!R21))</f>
        <v/>
      </c>
      <c r="S21" s="50" t="str">
        <f>SUBSTITUTE(SUBSTITUTE(SUBSTITUTE(SUBSTITUTE('Aqui Planilha'!S21, ".", ""), "-",""), ";", ""), ":", "")</f>
        <v/>
      </c>
      <c r="T21" s="50" t="str">
        <f>SUBSTITUTE(SUBSTITUTE(SUBSTITUTE(SUBSTITUTE('Aqui Planilha'!T21, ".", ""), "-",""), ";", ""), ":", "")</f>
        <v/>
      </c>
      <c r="U21" s="62" t="str">
        <f>(REPT("0",4-LEN(SUBSTITUTE(SUBSTITUTE(SUBSTITUTE(SUBSTITUTE('Aqui Planilha'!U21,".",""),"-",""),";",""),":","")))) &amp; 'Aqui Planilha'!U21</f>
        <v>0000</v>
      </c>
      <c r="V21" s="50" t="str">
        <f>SUBSTITUTE(SUBSTITUTE(SUBSTITUTE(SUBSTITUTE('Aqui Planilha'!V21, ".", ""), "-",""), ";", ""), ":", "")</f>
        <v/>
      </c>
      <c r="W21" s="62" t="str">
        <f>(REPT("0",2-LEN(SUBSTITUTE(SUBSTITUTE(SUBSTITUTE(SUBSTITUTE('Aqui Planilha'!W21,".",""),"-",""),";",""),":","")))) &amp; 'Aqui Planilha'!W21</f>
        <v>00</v>
      </c>
    </row>
    <row r="22" spans="1:23">
      <c r="A22" s="40" t="str" cm="1">
        <f t="array" ref="A22">UPPER(ACENTO('Aqui Planilha'!A22))</f>
        <v/>
      </c>
      <c r="B22" s="47" t="e">
        <f>VALUE(SUBSTITUTE(SUBSTITUTE(SUBSTITUTE(SUBSTITUTE(SUBSTITUTE('Aqui Planilha'!B22, ".", "/"), "-","/"), ";", "/"), ":", "/"), "/", "/"))</f>
        <v>#VALUE!</v>
      </c>
      <c r="C22" s="45" t="str">
        <f>SUBSTITUTE(SUBSTITUTE(UPPER('Aqui Planilha'!C22),"MASCULINO","M"),"FEMININO","F")</f>
        <v/>
      </c>
      <c r="D22" s="48" t="str">
        <f>SUBSTITUTE(SUBSTITUTE(SUBSTITUTE(SUBSTITUTE('Aqui Planilha'!D22, ".", ""), "-",""), ";", ""), ":", "")</f>
        <v/>
      </c>
      <c r="E22" s="45" t="str">
        <f>SUBSTITUTE(SUBSTITUTE(UPPER(ACENTO('Aqui Planilha'!E22)),"'",""), ".", "")</f>
        <v/>
      </c>
      <c r="F22" s="45" t="str">
        <f>UPPER(ACENTO('Aqui Planilha'!F22))</f>
        <v/>
      </c>
      <c r="G22" s="45" t="str">
        <f>UPPER(ACENTO('Aqui Planilha'!G22))</f>
        <v/>
      </c>
      <c r="H22" s="44" t="str">
        <f>SUBSTITUTE(SUBSTITUTE(SUBSTITUTE(SUBSTITUTE(SUBSTITUTE(SUBSTITUTE(SUBSTITUTE('Aqui Planilha'!H22,"","0"),"Sn","0"),"SN","0"),"sn","0"),"sN","0"),"S/N","0")," ","")</f>
        <v/>
      </c>
      <c r="I22" s="45" t="str">
        <f>UPPER(ACENTO('Aqui Planilha'!I22))</f>
        <v/>
      </c>
      <c r="J22" s="45" t="str">
        <f>UPPER(ACENTO('Aqui Planilha'!J22))</f>
        <v/>
      </c>
      <c r="K22" s="45" t="str">
        <f>SUBSTITUTE(UPPER(ACENTO('Aqui Planilha'!K22)), " ", "")</f>
        <v/>
      </c>
      <c r="L22" s="49" t="e">
        <f>(REPT("0",11-LEN(FormulaOcult!L22))&amp;FormulaOcult!L22)</f>
        <v>#VALUE!</v>
      </c>
      <c r="M22" s="48" t="str">
        <f>SUBSTITUTE(SUBSTITUTE(SUBSTITUTE(SUBSTITUTE(SUBSTITUTE('Aqui Planilha'!M22, ".", ""), "-",""), ";", ""), ":", ""), " ", "")</f>
        <v/>
      </c>
      <c r="N22" s="47" t="e">
        <f>VALUE(SUBSTITUTE(SUBSTITUTE(SUBSTITUTE(SUBSTITUTE(SUBSTITUTE('Aqui Planilha'!N22, ".", "/"), "-","/"), ";", "/"), ":", "/"), "/", "/"))</f>
        <v>#VALUE!</v>
      </c>
      <c r="O22" s="45" t="str">
        <f>SUBSTITUTE(SUBSTITUTE(SUBSTITUTE(UPPER(ACENTO('Aqui Planilha'!O22)), "/MG", ""), "/SC", ""), "/RS", "")</f>
        <v/>
      </c>
      <c r="P22" s="45" t="str">
        <f>SUBSTITUTE(UPPER(ACENTO('Aqui Planilha'!P22)), " ", "")</f>
        <v/>
      </c>
      <c r="Q22" s="44" t="str">
        <f>SUBSTITUTE('Aqui Planilha'!Q22, " ", "")</f>
        <v/>
      </c>
      <c r="R22" s="45" t="str">
        <f>UPPER(ACENTO('Aqui Planilha'!R22))</f>
        <v/>
      </c>
      <c r="S22" s="50" t="str">
        <f>SUBSTITUTE(SUBSTITUTE(SUBSTITUTE(SUBSTITUTE('Aqui Planilha'!S22, ".", ""), "-",""), ";", ""), ":", "")</f>
        <v/>
      </c>
      <c r="T22" s="50" t="str">
        <f>SUBSTITUTE(SUBSTITUTE(SUBSTITUTE(SUBSTITUTE('Aqui Planilha'!T22, ".", ""), "-",""), ";", ""), ":", "")</f>
        <v/>
      </c>
      <c r="U22" s="62" t="str">
        <f>(REPT("0",4-LEN(SUBSTITUTE(SUBSTITUTE(SUBSTITUTE(SUBSTITUTE('Aqui Planilha'!U22,".",""),"-",""),";",""),":","")))) &amp; 'Aqui Planilha'!U22</f>
        <v>0000</v>
      </c>
      <c r="V22" s="50" t="str">
        <f>SUBSTITUTE(SUBSTITUTE(SUBSTITUTE(SUBSTITUTE('Aqui Planilha'!V22, ".", ""), "-",""), ";", ""), ":", "")</f>
        <v/>
      </c>
      <c r="W22" s="62" t="str">
        <f>(REPT("0",2-LEN(SUBSTITUTE(SUBSTITUTE(SUBSTITUTE(SUBSTITUTE('Aqui Planilha'!W22,".",""),"-",""),";",""),":","")))) &amp; 'Aqui Planilha'!W22</f>
        <v>00</v>
      </c>
    </row>
    <row r="23" spans="1:23">
      <c r="A23" s="40" t="str" cm="1">
        <f t="array" ref="A23">UPPER(ACENTO('Aqui Planilha'!A23))</f>
        <v/>
      </c>
      <c r="B23" s="47" t="e">
        <f>VALUE(SUBSTITUTE(SUBSTITUTE(SUBSTITUTE(SUBSTITUTE(SUBSTITUTE('Aqui Planilha'!B23, ".", "/"), "-","/"), ";", "/"), ":", "/"), "/", "/"))</f>
        <v>#VALUE!</v>
      </c>
      <c r="C23" s="45" t="str">
        <f>SUBSTITUTE(SUBSTITUTE(UPPER('Aqui Planilha'!C23),"MASCULINO","M"),"FEMININO","F")</f>
        <v/>
      </c>
      <c r="D23" s="48" t="str">
        <f>SUBSTITUTE(SUBSTITUTE(SUBSTITUTE(SUBSTITUTE('Aqui Planilha'!D23, ".", ""), "-",""), ";", ""), ":", "")</f>
        <v/>
      </c>
      <c r="E23" s="45" t="str">
        <f>SUBSTITUTE(SUBSTITUTE(UPPER(ACENTO('Aqui Planilha'!E23)),"'",""), ".", "")</f>
        <v/>
      </c>
      <c r="F23" s="45" t="str">
        <f>UPPER(ACENTO('Aqui Planilha'!F23))</f>
        <v/>
      </c>
      <c r="G23" s="45" t="str">
        <f>UPPER(ACENTO('Aqui Planilha'!G23))</f>
        <v/>
      </c>
      <c r="H23" s="44" t="str">
        <f>SUBSTITUTE(SUBSTITUTE(SUBSTITUTE(SUBSTITUTE(SUBSTITUTE(SUBSTITUTE(SUBSTITUTE('Aqui Planilha'!H23,"","0"),"Sn","0"),"SN","0"),"sn","0"),"sN","0"),"S/N","0")," ","")</f>
        <v/>
      </c>
      <c r="I23" s="45" t="str">
        <f>UPPER(ACENTO('Aqui Planilha'!I23))</f>
        <v/>
      </c>
      <c r="J23" s="45" t="str">
        <f>UPPER(ACENTO('Aqui Planilha'!J23))</f>
        <v/>
      </c>
      <c r="K23" s="45" t="str">
        <f>SUBSTITUTE(UPPER(ACENTO('Aqui Planilha'!K23)), " ", "")</f>
        <v/>
      </c>
      <c r="L23" s="49" t="e">
        <f>(REPT("0",11-LEN(FormulaOcult!L23))&amp;FormulaOcult!L23)</f>
        <v>#VALUE!</v>
      </c>
      <c r="M23" s="48" t="str">
        <f>SUBSTITUTE(SUBSTITUTE(SUBSTITUTE(SUBSTITUTE(SUBSTITUTE('Aqui Planilha'!M23, ".", ""), "-",""), ";", ""), ":", ""), " ", "")</f>
        <v/>
      </c>
      <c r="N23" s="47" t="e">
        <f>VALUE(SUBSTITUTE(SUBSTITUTE(SUBSTITUTE(SUBSTITUTE(SUBSTITUTE('Aqui Planilha'!N23, ".", "/"), "-","/"), ";", "/"), ":", "/"), "/", "/"))</f>
        <v>#VALUE!</v>
      </c>
      <c r="O23" s="45" t="str">
        <f>SUBSTITUTE(SUBSTITUTE(SUBSTITUTE(UPPER(ACENTO('Aqui Planilha'!O23)), "/MG", ""), "/SC", ""), "/RS", "")</f>
        <v/>
      </c>
      <c r="P23" s="45" t="str">
        <f>SUBSTITUTE(UPPER(ACENTO('Aqui Planilha'!P23)), " ", "")</f>
        <v/>
      </c>
      <c r="Q23" s="44" t="str">
        <f>SUBSTITUTE('Aqui Planilha'!Q23, " ", "")</f>
        <v/>
      </c>
      <c r="R23" s="45" t="str">
        <f>UPPER(ACENTO('Aqui Planilha'!R23))</f>
        <v/>
      </c>
      <c r="S23" s="50" t="str">
        <f>SUBSTITUTE(SUBSTITUTE(SUBSTITUTE(SUBSTITUTE('Aqui Planilha'!S23, ".", ""), "-",""), ";", ""), ":", "")</f>
        <v/>
      </c>
      <c r="T23" s="50" t="str">
        <f>SUBSTITUTE(SUBSTITUTE(SUBSTITUTE(SUBSTITUTE('Aqui Planilha'!T23, ".", ""), "-",""), ";", ""), ":", "")</f>
        <v/>
      </c>
      <c r="U23" s="62" t="str">
        <f>(REPT("0",4-LEN(SUBSTITUTE(SUBSTITUTE(SUBSTITUTE(SUBSTITUTE('Aqui Planilha'!U23,".",""),"-",""),";",""),":","")))) &amp; 'Aqui Planilha'!U23</f>
        <v>0000</v>
      </c>
      <c r="V23" s="50" t="str">
        <f>SUBSTITUTE(SUBSTITUTE(SUBSTITUTE(SUBSTITUTE('Aqui Planilha'!V23, ".", ""), "-",""), ";", ""), ":", "")</f>
        <v/>
      </c>
      <c r="W23" s="62" t="str">
        <f>(REPT("0",2-LEN(SUBSTITUTE(SUBSTITUTE(SUBSTITUTE(SUBSTITUTE('Aqui Planilha'!W23,".",""),"-",""),";",""),":","")))) &amp; 'Aqui Planilha'!W23</f>
        <v>00</v>
      </c>
    </row>
    <row r="24" spans="1:23">
      <c r="A24" s="40" t="str" cm="1">
        <f t="array" ref="A24">UPPER(ACENTO('Aqui Planilha'!A24))</f>
        <v/>
      </c>
      <c r="B24" s="47" t="e">
        <f>VALUE(SUBSTITUTE(SUBSTITUTE(SUBSTITUTE(SUBSTITUTE(SUBSTITUTE('Aqui Planilha'!B24, ".", "/"), "-","/"), ";", "/"), ":", "/"), "/", "/"))</f>
        <v>#VALUE!</v>
      </c>
      <c r="C24" s="45" t="str">
        <f>SUBSTITUTE(SUBSTITUTE(UPPER('Aqui Planilha'!C24),"MASCULINO","M"),"FEMININO","F")</f>
        <v/>
      </c>
      <c r="D24" s="48" t="str">
        <f>SUBSTITUTE(SUBSTITUTE(SUBSTITUTE(SUBSTITUTE('Aqui Planilha'!D24, ".", ""), "-",""), ";", ""), ":", "")</f>
        <v/>
      </c>
      <c r="E24" s="45" t="str">
        <f>SUBSTITUTE(SUBSTITUTE(UPPER(ACENTO('Aqui Planilha'!E24)),"'",""), ".", "")</f>
        <v/>
      </c>
      <c r="F24" s="45" t="str">
        <f>UPPER(ACENTO('Aqui Planilha'!F24))</f>
        <v/>
      </c>
      <c r="G24" s="45" t="str">
        <f>UPPER(ACENTO('Aqui Planilha'!G24))</f>
        <v/>
      </c>
      <c r="H24" s="44" t="str">
        <f>SUBSTITUTE(SUBSTITUTE(SUBSTITUTE(SUBSTITUTE(SUBSTITUTE(SUBSTITUTE(SUBSTITUTE('Aqui Planilha'!H24,"","0"),"Sn","0"),"SN","0"),"sn","0"),"sN","0"),"S/N","0")," ","")</f>
        <v/>
      </c>
      <c r="I24" s="45" t="str">
        <f>UPPER(ACENTO('Aqui Planilha'!I24))</f>
        <v/>
      </c>
      <c r="J24" s="45" t="str">
        <f>UPPER(ACENTO('Aqui Planilha'!J24))</f>
        <v/>
      </c>
      <c r="K24" s="45" t="str">
        <f>SUBSTITUTE(UPPER(ACENTO('Aqui Planilha'!K24)), " ", "")</f>
        <v/>
      </c>
      <c r="L24" s="49" t="e">
        <f>(REPT("0",11-LEN(FormulaOcult!L24))&amp;FormulaOcult!L24)</f>
        <v>#VALUE!</v>
      </c>
      <c r="M24" s="48" t="str">
        <f>SUBSTITUTE(SUBSTITUTE(SUBSTITUTE(SUBSTITUTE(SUBSTITUTE('Aqui Planilha'!M24, ".", ""), "-",""), ";", ""), ":", ""), " ", "")</f>
        <v/>
      </c>
      <c r="N24" s="47" t="e">
        <f>VALUE(SUBSTITUTE(SUBSTITUTE(SUBSTITUTE(SUBSTITUTE(SUBSTITUTE('Aqui Planilha'!N24, ".", "/"), "-","/"), ";", "/"), ":", "/"), "/", "/"))</f>
        <v>#VALUE!</v>
      </c>
      <c r="O24" s="45" t="str">
        <f>SUBSTITUTE(SUBSTITUTE(SUBSTITUTE(UPPER(ACENTO('Aqui Planilha'!O24)), "/MG", ""), "/SC", ""), "/RS", "")</f>
        <v/>
      </c>
      <c r="P24" s="45" t="str">
        <f>SUBSTITUTE(UPPER(ACENTO('Aqui Planilha'!P24)), " ", "")</f>
        <v/>
      </c>
      <c r="Q24" s="44" t="str">
        <f>SUBSTITUTE('Aqui Planilha'!Q24, " ", "")</f>
        <v/>
      </c>
      <c r="R24" s="45" t="str">
        <f>UPPER(ACENTO('Aqui Planilha'!R24))</f>
        <v/>
      </c>
      <c r="S24" s="50" t="str">
        <f>SUBSTITUTE(SUBSTITUTE(SUBSTITUTE(SUBSTITUTE('Aqui Planilha'!S24, ".", ""), "-",""), ";", ""), ":", "")</f>
        <v/>
      </c>
      <c r="T24" s="50" t="str">
        <f>SUBSTITUTE(SUBSTITUTE(SUBSTITUTE(SUBSTITUTE('Aqui Planilha'!T24, ".", ""), "-",""), ";", ""), ":", "")</f>
        <v/>
      </c>
      <c r="U24" s="62" t="str">
        <f>(REPT("0",4-LEN(SUBSTITUTE(SUBSTITUTE(SUBSTITUTE(SUBSTITUTE('Aqui Planilha'!U24,".",""),"-",""),";",""),":","")))) &amp; 'Aqui Planilha'!U24</f>
        <v>0000</v>
      </c>
      <c r="V24" s="50" t="str">
        <f>SUBSTITUTE(SUBSTITUTE(SUBSTITUTE(SUBSTITUTE('Aqui Planilha'!V24, ".", ""), "-",""), ";", ""), ":", "")</f>
        <v/>
      </c>
      <c r="W24" s="62" t="str">
        <f>(REPT("0",2-LEN(SUBSTITUTE(SUBSTITUTE(SUBSTITUTE(SUBSTITUTE('Aqui Planilha'!W24,".",""),"-",""),";",""),":","")))) &amp; 'Aqui Planilha'!W24</f>
        <v>00</v>
      </c>
    </row>
    <row r="25" spans="1:23">
      <c r="A25" s="40" t="str" cm="1">
        <f t="array" ref="A25">UPPER(ACENTO('Aqui Planilha'!A25))</f>
        <v/>
      </c>
      <c r="B25" s="47" t="e">
        <f>VALUE(SUBSTITUTE(SUBSTITUTE(SUBSTITUTE(SUBSTITUTE(SUBSTITUTE('Aqui Planilha'!B25, ".", "/"), "-","/"), ";", "/"), ":", "/"), "/", "/"))</f>
        <v>#VALUE!</v>
      </c>
      <c r="C25" s="45" t="str">
        <f>SUBSTITUTE(SUBSTITUTE(UPPER('Aqui Planilha'!C25),"MASCULINO","M"),"FEMININO","F")</f>
        <v/>
      </c>
      <c r="D25" s="48" t="str">
        <f>SUBSTITUTE(SUBSTITUTE(SUBSTITUTE(SUBSTITUTE('Aqui Planilha'!D25, ".", ""), "-",""), ";", ""), ":", "")</f>
        <v/>
      </c>
      <c r="E25" s="45" t="str">
        <f>SUBSTITUTE(SUBSTITUTE(UPPER(ACENTO('Aqui Planilha'!E25)),"'",""), ".", "")</f>
        <v/>
      </c>
      <c r="F25" s="45" t="str">
        <f>UPPER(ACENTO('Aqui Planilha'!F25))</f>
        <v/>
      </c>
      <c r="G25" s="45" t="str">
        <f>UPPER(ACENTO('Aqui Planilha'!G25))</f>
        <v/>
      </c>
      <c r="H25" s="44" t="str">
        <f>SUBSTITUTE(SUBSTITUTE(SUBSTITUTE(SUBSTITUTE(SUBSTITUTE(SUBSTITUTE(SUBSTITUTE('Aqui Planilha'!H25,"","0"),"Sn","0"),"SN","0"),"sn","0"),"sN","0"),"S/N","0")," ","")</f>
        <v/>
      </c>
      <c r="I25" s="45" t="str">
        <f>UPPER(ACENTO('Aqui Planilha'!I25))</f>
        <v/>
      </c>
      <c r="J25" s="45" t="str">
        <f>UPPER(ACENTO('Aqui Planilha'!J25))</f>
        <v/>
      </c>
      <c r="K25" s="45" t="str">
        <f>SUBSTITUTE(UPPER(ACENTO('Aqui Planilha'!K25)), " ", "")</f>
        <v/>
      </c>
      <c r="L25" s="49" t="e">
        <f>(REPT("0",11-LEN(FormulaOcult!L25))&amp;FormulaOcult!L25)</f>
        <v>#VALUE!</v>
      </c>
      <c r="M25" s="48" t="str">
        <f>SUBSTITUTE(SUBSTITUTE(SUBSTITUTE(SUBSTITUTE(SUBSTITUTE('Aqui Planilha'!M25, ".", ""), "-",""), ";", ""), ":", ""), " ", "")</f>
        <v/>
      </c>
      <c r="N25" s="47" t="e">
        <f>VALUE(SUBSTITUTE(SUBSTITUTE(SUBSTITUTE(SUBSTITUTE(SUBSTITUTE('Aqui Planilha'!N25, ".", "/"), "-","/"), ";", "/"), ":", "/"), "/", "/"))</f>
        <v>#VALUE!</v>
      </c>
      <c r="O25" s="45" t="str">
        <f>SUBSTITUTE(SUBSTITUTE(SUBSTITUTE(UPPER(ACENTO('Aqui Planilha'!O25)), "/MG", ""), "/SC", ""), "/RS", "")</f>
        <v/>
      </c>
      <c r="P25" s="45" t="str">
        <f>SUBSTITUTE(UPPER(ACENTO('Aqui Planilha'!P25)), " ", "")</f>
        <v/>
      </c>
      <c r="Q25" s="44" t="str">
        <f>SUBSTITUTE('Aqui Planilha'!Q25, " ", "")</f>
        <v/>
      </c>
      <c r="R25" s="45" t="str">
        <f>UPPER(ACENTO('Aqui Planilha'!R25))</f>
        <v/>
      </c>
      <c r="S25" s="50" t="str">
        <f>SUBSTITUTE(SUBSTITUTE(SUBSTITUTE(SUBSTITUTE('Aqui Planilha'!S25, ".", ""), "-",""), ";", ""), ":", "")</f>
        <v/>
      </c>
      <c r="T25" s="50" t="str">
        <f>SUBSTITUTE(SUBSTITUTE(SUBSTITUTE(SUBSTITUTE('Aqui Planilha'!T25, ".", ""), "-",""), ";", ""), ":", "")</f>
        <v/>
      </c>
      <c r="U25" s="62" t="str">
        <f>(REPT("0",4-LEN(SUBSTITUTE(SUBSTITUTE(SUBSTITUTE(SUBSTITUTE('Aqui Planilha'!U25,".",""),"-",""),";",""),":","")))) &amp; 'Aqui Planilha'!U25</f>
        <v>0000</v>
      </c>
      <c r="V25" s="50" t="str">
        <f>SUBSTITUTE(SUBSTITUTE(SUBSTITUTE(SUBSTITUTE('Aqui Planilha'!V25, ".", ""), "-",""), ";", ""), ":", "")</f>
        <v/>
      </c>
      <c r="W25" s="62" t="str">
        <f>(REPT("0",2-LEN(SUBSTITUTE(SUBSTITUTE(SUBSTITUTE(SUBSTITUTE('Aqui Planilha'!W25,".",""),"-",""),";",""),":","")))) &amp; 'Aqui Planilha'!W25</f>
        <v>00</v>
      </c>
    </row>
    <row r="26" spans="1:23">
      <c r="A26" s="40" t="str" cm="1">
        <f t="array" ref="A26">UPPER(ACENTO('Aqui Planilha'!A26))</f>
        <v/>
      </c>
      <c r="B26" s="47" t="e">
        <f>VALUE(SUBSTITUTE(SUBSTITUTE(SUBSTITUTE(SUBSTITUTE(SUBSTITUTE('Aqui Planilha'!B26, ".", "/"), "-","/"), ";", "/"), ":", "/"), "/", "/"))</f>
        <v>#VALUE!</v>
      </c>
      <c r="C26" s="45" t="str">
        <f>SUBSTITUTE(SUBSTITUTE(UPPER('Aqui Planilha'!C26),"MASCULINO","M"),"FEMININO","F")</f>
        <v/>
      </c>
      <c r="D26" s="48" t="str">
        <f>SUBSTITUTE(SUBSTITUTE(SUBSTITUTE(SUBSTITUTE('Aqui Planilha'!D26, ".", ""), "-",""), ";", ""), ":", "")</f>
        <v/>
      </c>
      <c r="E26" s="45" t="str">
        <f>SUBSTITUTE(SUBSTITUTE(UPPER(ACENTO('Aqui Planilha'!E26)),"'",""), ".", "")</f>
        <v/>
      </c>
      <c r="F26" s="45" t="str">
        <f>UPPER(ACENTO('Aqui Planilha'!F26))</f>
        <v/>
      </c>
      <c r="G26" s="45" t="str">
        <f>UPPER(ACENTO('Aqui Planilha'!G26))</f>
        <v/>
      </c>
      <c r="H26" s="44" t="str">
        <f>SUBSTITUTE(SUBSTITUTE(SUBSTITUTE(SUBSTITUTE(SUBSTITUTE(SUBSTITUTE(SUBSTITUTE('Aqui Planilha'!H26,"","0"),"Sn","0"),"SN","0"),"sn","0"),"sN","0"),"S/N","0")," ","")</f>
        <v/>
      </c>
      <c r="I26" s="45" t="str">
        <f>UPPER(ACENTO('Aqui Planilha'!I26))</f>
        <v/>
      </c>
      <c r="J26" s="45" t="str">
        <f>UPPER(ACENTO('Aqui Planilha'!J26))</f>
        <v/>
      </c>
      <c r="K26" s="45" t="str">
        <f>SUBSTITUTE(UPPER(ACENTO('Aqui Planilha'!K26)), " ", "")</f>
        <v/>
      </c>
      <c r="L26" s="49" t="e">
        <f>(REPT("0",11-LEN(FormulaOcult!L26))&amp;FormulaOcult!L26)</f>
        <v>#VALUE!</v>
      </c>
      <c r="M26" s="48" t="str">
        <f>SUBSTITUTE(SUBSTITUTE(SUBSTITUTE(SUBSTITUTE(SUBSTITUTE('Aqui Planilha'!M26, ".", ""), "-",""), ";", ""), ":", ""), " ", "")</f>
        <v/>
      </c>
      <c r="N26" s="47" t="e">
        <f>VALUE(SUBSTITUTE(SUBSTITUTE(SUBSTITUTE(SUBSTITUTE(SUBSTITUTE('Aqui Planilha'!N26, ".", "/"), "-","/"), ";", "/"), ":", "/"), "/", "/"))</f>
        <v>#VALUE!</v>
      </c>
      <c r="O26" s="45" t="str">
        <f>SUBSTITUTE(SUBSTITUTE(SUBSTITUTE(UPPER(ACENTO('Aqui Planilha'!O26)), "/MG", ""), "/SC", ""), "/RS", "")</f>
        <v/>
      </c>
      <c r="P26" s="45" t="str">
        <f>SUBSTITUTE(UPPER(ACENTO('Aqui Planilha'!P26)), " ", "")</f>
        <v/>
      </c>
      <c r="Q26" s="44" t="str">
        <f>SUBSTITUTE('Aqui Planilha'!Q26, " ", "")</f>
        <v/>
      </c>
      <c r="R26" s="45" t="str">
        <f>UPPER(ACENTO('Aqui Planilha'!R26))</f>
        <v/>
      </c>
      <c r="S26" s="50" t="str">
        <f>SUBSTITUTE(SUBSTITUTE(SUBSTITUTE(SUBSTITUTE('Aqui Planilha'!S26, ".", ""), "-",""), ";", ""), ":", "")</f>
        <v/>
      </c>
      <c r="T26" s="50" t="str">
        <f>SUBSTITUTE(SUBSTITUTE(SUBSTITUTE(SUBSTITUTE('Aqui Planilha'!T26, ".", ""), "-",""), ";", ""), ":", "")</f>
        <v/>
      </c>
      <c r="U26" s="62" t="str">
        <f>(REPT("0",4-LEN(SUBSTITUTE(SUBSTITUTE(SUBSTITUTE(SUBSTITUTE('Aqui Planilha'!U26,".",""),"-",""),";",""),":","")))) &amp; 'Aqui Planilha'!U26</f>
        <v>0000</v>
      </c>
      <c r="V26" s="50" t="str">
        <f>SUBSTITUTE(SUBSTITUTE(SUBSTITUTE(SUBSTITUTE('Aqui Planilha'!V26, ".", ""), "-",""), ";", ""), ":", "")</f>
        <v/>
      </c>
      <c r="W26" s="62" t="str">
        <f>(REPT("0",2-LEN(SUBSTITUTE(SUBSTITUTE(SUBSTITUTE(SUBSTITUTE('Aqui Planilha'!W26,".",""),"-",""),";",""),":","")))) &amp; 'Aqui Planilha'!W26</f>
        <v>00</v>
      </c>
    </row>
    <row r="27" spans="1:23">
      <c r="A27" s="40" t="str" cm="1">
        <f t="array" ref="A27">UPPER(ACENTO('Aqui Planilha'!A27))</f>
        <v/>
      </c>
      <c r="B27" s="47" t="e">
        <f>VALUE(SUBSTITUTE(SUBSTITUTE(SUBSTITUTE(SUBSTITUTE(SUBSTITUTE('Aqui Planilha'!B27, ".", "/"), "-","/"), ";", "/"), ":", "/"), "/", "/"))</f>
        <v>#VALUE!</v>
      </c>
      <c r="C27" s="45" t="str">
        <f>SUBSTITUTE(SUBSTITUTE(UPPER('Aqui Planilha'!C27),"MASCULINO","M"),"FEMININO","F")</f>
        <v/>
      </c>
      <c r="D27" s="48" t="str">
        <f>SUBSTITUTE(SUBSTITUTE(SUBSTITUTE(SUBSTITUTE('Aqui Planilha'!D27, ".", ""), "-",""), ";", ""), ":", "")</f>
        <v/>
      </c>
      <c r="E27" s="45" t="str">
        <f>SUBSTITUTE(SUBSTITUTE(UPPER(ACENTO('Aqui Planilha'!E27)),"'",""), ".", "")</f>
        <v/>
      </c>
      <c r="F27" s="45" t="str">
        <f>UPPER(ACENTO('Aqui Planilha'!F27))</f>
        <v/>
      </c>
      <c r="G27" s="45" t="str">
        <f>UPPER(ACENTO('Aqui Planilha'!G27))</f>
        <v/>
      </c>
      <c r="H27" s="44" t="str">
        <f>SUBSTITUTE(SUBSTITUTE(SUBSTITUTE(SUBSTITUTE(SUBSTITUTE(SUBSTITUTE(SUBSTITUTE('Aqui Planilha'!H27,"","0"),"Sn","0"),"SN","0"),"sn","0"),"sN","0"),"S/N","0")," ","")</f>
        <v/>
      </c>
      <c r="I27" s="45" t="str">
        <f>UPPER(ACENTO('Aqui Planilha'!I27))</f>
        <v/>
      </c>
      <c r="J27" s="45" t="str">
        <f>UPPER(ACENTO('Aqui Planilha'!J27))</f>
        <v/>
      </c>
      <c r="K27" s="45" t="str">
        <f>SUBSTITUTE(UPPER(ACENTO('Aqui Planilha'!K27)), " ", "")</f>
        <v/>
      </c>
      <c r="L27" s="49" t="e">
        <f>(REPT("0",11-LEN(FormulaOcult!L27))&amp;FormulaOcult!L27)</f>
        <v>#VALUE!</v>
      </c>
      <c r="M27" s="48" t="str">
        <f>SUBSTITUTE(SUBSTITUTE(SUBSTITUTE(SUBSTITUTE(SUBSTITUTE('Aqui Planilha'!M27, ".", ""), "-",""), ";", ""), ":", ""), " ", "")</f>
        <v/>
      </c>
      <c r="N27" s="47" t="e">
        <f>VALUE(SUBSTITUTE(SUBSTITUTE(SUBSTITUTE(SUBSTITUTE(SUBSTITUTE('Aqui Planilha'!N27, ".", "/"), "-","/"), ";", "/"), ":", "/"), "/", "/"))</f>
        <v>#VALUE!</v>
      </c>
      <c r="O27" s="45" t="str">
        <f>SUBSTITUTE(SUBSTITUTE(SUBSTITUTE(UPPER(ACENTO('Aqui Planilha'!O27)), "/MG", ""), "/SC", ""), "/RS", "")</f>
        <v/>
      </c>
      <c r="P27" s="45" t="str">
        <f>SUBSTITUTE(UPPER(ACENTO('Aqui Planilha'!P27)), " ", "")</f>
        <v/>
      </c>
      <c r="Q27" s="44" t="str">
        <f>SUBSTITUTE('Aqui Planilha'!Q27, " ", "")</f>
        <v/>
      </c>
      <c r="R27" s="45" t="str">
        <f>UPPER(ACENTO('Aqui Planilha'!R27))</f>
        <v/>
      </c>
      <c r="S27" s="50" t="str">
        <f>SUBSTITUTE(SUBSTITUTE(SUBSTITUTE(SUBSTITUTE('Aqui Planilha'!S27, ".", ""), "-",""), ";", ""), ":", "")</f>
        <v/>
      </c>
      <c r="T27" s="50" t="str">
        <f>SUBSTITUTE(SUBSTITUTE(SUBSTITUTE(SUBSTITUTE('Aqui Planilha'!T27, ".", ""), "-",""), ";", ""), ":", "")</f>
        <v/>
      </c>
      <c r="U27" s="62" t="str">
        <f>(REPT("0",4-LEN(SUBSTITUTE(SUBSTITUTE(SUBSTITUTE(SUBSTITUTE('Aqui Planilha'!U27,".",""),"-",""),";",""),":","")))) &amp; 'Aqui Planilha'!U27</f>
        <v>0000</v>
      </c>
      <c r="V27" s="50" t="str">
        <f>SUBSTITUTE(SUBSTITUTE(SUBSTITUTE(SUBSTITUTE('Aqui Planilha'!V27, ".", ""), "-",""), ";", ""), ":", "")</f>
        <v/>
      </c>
      <c r="W27" s="62" t="str">
        <f>(REPT("0",2-LEN(SUBSTITUTE(SUBSTITUTE(SUBSTITUTE(SUBSTITUTE('Aqui Planilha'!W27,".",""),"-",""),";",""),":","")))) &amp; 'Aqui Planilha'!W27</f>
        <v>00</v>
      </c>
    </row>
    <row r="28" spans="1:23">
      <c r="A28" s="40" t="str" cm="1">
        <f t="array" ref="A28">UPPER(ACENTO('Aqui Planilha'!A28))</f>
        <v/>
      </c>
      <c r="B28" s="47" t="e">
        <f>VALUE(SUBSTITUTE(SUBSTITUTE(SUBSTITUTE(SUBSTITUTE(SUBSTITUTE('Aqui Planilha'!B28, ".", "/"), "-","/"), ";", "/"), ":", "/"), "/", "/"))</f>
        <v>#VALUE!</v>
      </c>
      <c r="C28" s="45" t="str">
        <f>SUBSTITUTE(SUBSTITUTE(UPPER('Aqui Planilha'!C28),"MASCULINO","M"),"FEMININO","F")</f>
        <v/>
      </c>
      <c r="D28" s="48" t="str">
        <f>SUBSTITUTE(SUBSTITUTE(SUBSTITUTE(SUBSTITUTE('Aqui Planilha'!D28, ".", ""), "-",""), ";", ""), ":", "")</f>
        <v/>
      </c>
      <c r="E28" s="45" t="str">
        <f>SUBSTITUTE(SUBSTITUTE(UPPER(ACENTO('Aqui Planilha'!E28)),"'",""), ".", "")</f>
        <v/>
      </c>
      <c r="F28" s="45" t="str">
        <f>UPPER(ACENTO('Aqui Planilha'!F28))</f>
        <v/>
      </c>
      <c r="G28" s="45" t="str">
        <f>UPPER(ACENTO('Aqui Planilha'!G28))</f>
        <v/>
      </c>
      <c r="H28" s="44" t="str">
        <f>SUBSTITUTE(SUBSTITUTE(SUBSTITUTE(SUBSTITUTE(SUBSTITUTE(SUBSTITUTE(SUBSTITUTE('Aqui Planilha'!H28,"","0"),"Sn","0"),"SN","0"),"sn","0"),"sN","0"),"S/N","0")," ","")</f>
        <v/>
      </c>
      <c r="I28" s="45" t="str">
        <f>UPPER(ACENTO('Aqui Planilha'!I28))</f>
        <v/>
      </c>
      <c r="J28" s="45" t="str">
        <f>UPPER(ACENTO('Aqui Planilha'!J28))</f>
        <v/>
      </c>
      <c r="K28" s="45" t="str">
        <f>SUBSTITUTE(UPPER(ACENTO('Aqui Planilha'!K28)), " ", "")</f>
        <v/>
      </c>
      <c r="L28" s="49" t="e">
        <f>(REPT("0",11-LEN(FormulaOcult!L28))&amp;FormulaOcult!L28)</f>
        <v>#VALUE!</v>
      </c>
      <c r="M28" s="48" t="str">
        <f>SUBSTITUTE(SUBSTITUTE(SUBSTITUTE(SUBSTITUTE(SUBSTITUTE('Aqui Planilha'!M28, ".", ""), "-",""), ";", ""), ":", ""), " ", "")</f>
        <v/>
      </c>
      <c r="N28" s="47" t="e">
        <f>VALUE(SUBSTITUTE(SUBSTITUTE(SUBSTITUTE(SUBSTITUTE(SUBSTITUTE('Aqui Planilha'!N28, ".", "/"), "-","/"), ";", "/"), ":", "/"), "/", "/"))</f>
        <v>#VALUE!</v>
      </c>
      <c r="O28" s="45" t="str">
        <f>SUBSTITUTE(SUBSTITUTE(SUBSTITUTE(UPPER(ACENTO('Aqui Planilha'!O28)), "/MG", ""), "/SC", ""), "/RS", "")</f>
        <v/>
      </c>
      <c r="P28" s="45" t="str">
        <f>SUBSTITUTE(UPPER(ACENTO('Aqui Planilha'!P28)), " ", "")</f>
        <v/>
      </c>
      <c r="Q28" s="44" t="str">
        <f>SUBSTITUTE('Aqui Planilha'!Q28, " ", "")</f>
        <v/>
      </c>
      <c r="R28" s="45" t="str">
        <f>UPPER(ACENTO('Aqui Planilha'!R28))</f>
        <v/>
      </c>
      <c r="S28" s="50" t="str">
        <f>SUBSTITUTE(SUBSTITUTE(SUBSTITUTE(SUBSTITUTE('Aqui Planilha'!S28, ".", ""), "-",""), ";", ""), ":", "")</f>
        <v/>
      </c>
      <c r="T28" s="50" t="str">
        <f>SUBSTITUTE(SUBSTITUTE(SUBSTITUTE(SUBSTITUTE('Aqui Planilha'!T28, ".", ""), "-",""), ";", ""), ":", "")</f>
        <v/>
      </c>
      <c r="U28" s="62" t="str">
        <f>(REPT("0",4-LEN(SUBSTITUTE(SUBSTITUTE(SUBSTITUTE(SUBSTITUTE('Aqui Planilha'!U28,".",""),"-",""),";",""),":","")))) &amp; 'Aqui Planilha'!U28</f>
        <v>0000</v>
      </c>
      <c r="V28" s="50" t="str">
        <f>SUBSTITUTE(SUBSTITUTE(SUBSTITUTE(SUBSTITUTE('Aqui Planilha'!V28, ".", ""), "-",""), ";", ""), ":", "")</f>
        <v/>
      </c>
      <c r="W28" s="62" t="str">
        <f>(REPT("0",2-LEN(SUBSTITUTE(SUBSTITUTE(SUBSTITUTE(SUBSTITUTE('Aqui Planilha'!W28,".",""),"-",""),";",""),":","")))) &amp; 'Aqui Planilha'!W28</f>
        <v>00</v>
      </c>
    </row>
    <row r="29" spans="1:23">
      <c r="A29" s="40" t="str" cm="1">
        <f t="array" ref="A29">UPPER(ACENTO('Aqui Planilha'!A29))</f>
        <v/>
      </c>
      <c r="B29" s="47" t="e">
        <f>VALUE(SUBSTITUTE(SUBSTITUTE(SUBSTITUTE(SUBSTITUTE(SUBSTITUTE('Aqui Planilha'!B29, ".", "/"), "-","/"), ";", "/"), ":", "/"), "/", "/"))</f>
        <v>#VALUE!</v>
      </c>
      <c r="C29" s="45" t="str">
        <f>SUBSTITUTE(SUBSTITUTE(UPPER('Aqui Planilha'!C29),"MASCULINO","M"),"FEMININO","F")</f>
        <v/>
      </c>
      <c r="D29" s="48" t="str">
        <f>SUBSTITUTE(SUBSTITUTE(SUBSTITUTE(SUBSTITUTE('Aqui Planilha'!D29, ".", ""), "-",""), ";", ""), ":", "")</f>
        <v/>
      </c>
      <c r="E29" s="45" t="str">
        <f>SUBSTITUTE(SUBSTITUTE(UPPER(ACENTO('Aqui Planilha'!E29)),"'",""), ".", "")</f>
        <v/>
      </c>
      <c r="F29" s="45" t="str">
        <f>UPPER(ACENTO('Aqui Planilha'!F29))</f>
        <v/>
      </c>
      <c r="G29" s="45" t="str">
        <f>UPPER(ACENTO('Aqui Planilha'!G29))</f>
        <v/>
      </c>
      <c r="H29" s="44" t="str">
        <f>SUBSTITUTE(SUBSTITUTE(SUBSTITUTE(SUBSTITUTE(SUBSTITUTE(SUBSTITUTE(SUBSTITUTE('Aqui Planilha'!H29,"","0"),"Sn","0"),"SN","0"),"sn","0"),"sN","0"),"S/N","0")," ","")</f>
        <v/>
      </c>
      <c r="I29" s="45" t="str">
        <f>UPPER(ACENTO('Aqui Planilha'!I29))</f>
        <v/>
      </c>
      <c r="J29" s="45" t="str">
        <f>UPPER(ACENTO('Aqui Planilha'!J29))</f>
        <v/>
      </c>
      <c r="K29" s="45" t="str">
        <f>SUBSTITUTE(UPPER(ACENTO('Aqui Planilha'!K29)), " ", "")</f>
        <v/>
      </c>
      <c r="L29" s="49" t="e">
        <f>(REPT("0",11-LEN(FormulaOcult!L29))&amp;FormulaOcult!L29)</f>
        <v>#VALUE!</v>
      </c>
      <c r="M29" s="48" t="str">
        <f>SUBSTITUTE(SUBSTITUTE(SUBSTITUTE(SUBSTITUTE(SUBSTITUTE('Aqui Planilha'!M29, ".", ""), "-",""), ";", ""), ":", ""), " ", "")</f>
        <v/>
      </c>
      <c r="N29" s="47" t="e">
        <f>VALUE(SUBSTITUTE(SUBSTITUTE(SUBSTITUTE(SUBSTITUTE(SUBSTITUTE('Aqui Planilha'!N29, ".", "/"), "-","/"), ";", "/"), ":", "/"), "/", "/"))</f>
        <v>#VALUE!</v>
      </c>
      <c r="O29" s="45" t="str">
        <f>SUBSTITUTE(SUBSTITUTE(SUBSTITUTE(UPPER(ACENTO('Aqui Planilha'!O29)), "/MG", ""), "/SC", ""), "/RS", "")</f>
        <v/>
      </c>
      <c r="P29" s="45" t="str">
        <f>SUBSTITUTE(UPPER(ACENTO('Aqui Planilha'!P29)), " ", "")</f>
        <v/>
      </c>
      <c r="Q29" s="44" t="str">
        <f>SUBSTITUTE('Aqui Planilha'!Q29, " ", "")</f>
        <v/>
      </c>
      <c r="R29" s="45" t="str">
        <f>UPPER(ACENTO('Aqui Planilha'!R29))</f>
        <v/>
      </c>
      <c r="S29" s="50" t="str">
        <f>SUBSTITUTE(SUBSTITUTE(SUBSTITUTE(SUBSTITUTE('Aqui Planilha'!S29, ".", ""), "-",""), ";", ""), ":", "")</f>
        <v/>
      </c>
      <c r="T29" s="50" t="str">
        <f>SUBSTITUTE(SUBSTITUTE(SUBSTITUTE(SUBSTITUTE('Aqui Planilha'!T29, ".", ""), "-",""), ";", ""), ":", "")</f>
        <v/>
      </c>
      <c r="U29" s="62" t="str">
        <f>(REPT("0",4-LEN(SUBSTITUTE(SUBSTITUTE(SUBSTITUTE(SUBSTITUTE('Aqui Planilha'!U29,".",""),"-",""),";",""),":","")))) &amp; 'Aqui Planilha'!U29</f>
        <v>0000</v>
      </c>
      <c r="V29" s="50" t="str">
        <f>SUBSTITUTE(SUBSTITUTE(SUBSTITUTE(SUBSTITUTE('Aqui Planilha'!V29, ".", ""), "-",""), ";", ""), ":", "")</f>
        <v/>
      </c>
      <c r="W29" s="62" t="str">
        <f>(REPT("0",2-LEN(SUBSTITUTE(SUBSTITUTE(SUBSTITUTE(SUBSTITUTE('Aqui Planilha'!W29,".",""),"-",""),";",""),":","")))) &amp; 'Aqui Planilha'!W29</f>
        <v>00</v>
      </c>
    </row>
    <row r="30" spans="1:23">
      <c r="A30" s="40" t="str" cm="1">
        <f t="array" ref="A30">UPPER(ACENTO('Aqui Planilha'!A30))</f>
        <v/>
      </c>
      <c r="B30" s="47" t="e">
        <f>VALUE(SUBSTITUTE(SUBSTITUTE(SUBSTITUTE(SUBSTITUTE(SUBSTITUTE('Aqui Planilha'!B30, ".", "/"), "-","/"), ";", "/"), ":", "/"), "/", "/"))</f>
        <v>#VALUE!</v>
      </c>
      <c r="C30" s="45" t="str">
        <f>SUBSTITUTE(SUBSTITUTE(UPPER('Aqui Planilha'!C30),"MASCULINO","M"),"FEMININO","F")</f>
        <v/>
      </c>
      <c r="D30" s="48" t="str">
        <f>SUBSTITUTE(SUBSTITUTE(SUBSTITUTE(SUBSTITUTE('Aqui Planilha'!D30, ".", ""), "-",""), ";", ""), ":", "")</f>
        <v/>
      </c>
      <c r="E30" s="45" t="str">
        <f>SUBSTITUTE(SUBSTITUTE(UPPER(ACENTO('Aqui Planilha'!E30)),"'",""), ".", "")</f>
        <v/>
      </c>
      <c r="F30" s="45" t="str">
        <f>UPPER(ACENTO('Aqui Planilha'!F30))</f>
        <v/>
      </c>
      <c r="G30" s="45" t="str">
        <f>UPPER(ACENTO('Aqui Planilha'!G30))</f>
        <v/>
      </c>
      <c r="H30" s="44" t="str">
        <f>SUBSTITUTE(SUBSTITUTE(SUBSTITUTE(SUBSTITUTE(SUBSTITUTE(SUBSTITUTE(SUBSTITUTE('Aqui Planilha'!H30,"","0"),"Sn","0"),"SN","0"),"sn","0"),"sN","0"),"S/N","0")," ","")</f>
        <v/>
      </c>
      <c r="I30" s="45" t="str">
        <f>UPPER(ACENTO('Aqui Planilha'!I30))</f>
        <v/>
      </c>
      <c r="J30" s="45" t="str">
        <f>UPPER(ACENTO('Aqui Planilha'!J30))</f>
        <v/>
      </c>
      <c r="K30" s="45" t="str">
        <f>SUBSTITUTE(UPPER(ACENTO('Aqui Planilha'!K30)), " ", "")</f>
        <v/>
      </c>
      <c r="L30" s="49" t="e">
        <f>(REPT("0",11-LEN(FormulaOcult!L30))&amp;FormulaOcult!L30)</f>
        <v>#VALUE!</v>
      </c>
      <c r="M30" s="48" t="str">
        <f>SUBSTITUTE(SUBSTITUTE(SUBSTITUTE(SUBSTITUTE(SUBSTITUTE('Aqui Planilha'!M30, ".", ""), "-",""), ";", ""), ":", ""), " ", "")</f>
        <v/>
      </c>
      <c r="N30" s="47" t="e">
        <f>VALUE(SUBSTITUTE(SUBSTITUTE(SUBSTITUTE(SUBSTITUTE(SUBSTITUTE('Aqui Planilha'!N30, ".", "/"), "-","/"), ";", "/"), ":", "/"), "/", "/"))</f>
        <v>#VALUE!</v>
      </c>
      <c r="O30" s="45" t="str">
        <f>SUBSTITUTE(SUBSTITUTE(SUBSTITUTE(UPPER(ACENTO('Aqui Planilha'!O30)), "/MG", ""), "/SC", ""), "/RS", "")</f>
        <v/>
      </c>
      <c r="P30" s="45" t="str">
        <f>SUBSTITUTE(UPPER(ACENTO('Aqui Planilha'!P30)), " ", "")</f>
        <v/>
      </c>
      <c r="Q30" s="44" t="str">
        <f>SUBSTITUTE('Aqui Planilha'!Q30, " ", "")</f>
        <v/>
      </c>
      <c r="R30" s="45" t="str">
        <f>UPPER(ACENTO('Aqui Planilha'!R30))</f>
        <v/>
      </c>
      <c r="S30" s="50" t="str">
        <f>SUBSTITUTE(SUBSTITUTE(SUBSTITUTE(SUBSTITUTE('Aqui Planilha'!S30, ".", ""), "-",""), ";", ""), ":", "")</f>
        <v/>
      </c>
      <c r="T30" s="50" t="str">
        <f>SUBSTITUTE(SUBSTITUTE(SUBSTITUTE(SUBSTITUTE('Aqui Planilha'!T30, ".", ""), "-",""), ";", ""), ":", "")</f>
        <v/>
      </c>
      <c r="U30" s="62" t="str">
        <f>(REPT("0",4-LEN(SUBSTITUTE(SUBSTITUTE(SUBSTITUTE(SUBSTITUTE('Aqui Planilha'!U30,".",""),"-",""),";",""),":","")))) &amp; 'Aqui Planilha'!U30</f>
        <v>0000</v>
      </c>
      <c r="V30" s="50" t="str">
        <f>SUBSTITUTE(SUBSTITUTE(SUBSTITUTE(SUBSTITUTE('Aqui Planilha'!V30, ".", ""), "-",""), ";", ""), ":", "")</f>
        <v/>
      </c>
      <c r="W30" s="62" t="str">
        <f>(REPT("0",2-LEN(SUBSTITUTE(SUBSTITUTE(SUBSTITUTE(SUBSTITUTE('Aqui Planilha'!W30,".",""),"-",""),";",""),":","")))) &amp; 'Aqui Planilha'!W30</f>
        <v>00</v>
      </c>
    </row>
    <row r="31" spans="1:23">
      <c r="A31" s="40" t="str" cm="1">
        <f t="array" ref="A31">UPPER(ACENTO('Aqui Planilha'!A31))</f>
        <v/>
      </c>
      <c r="B31" s="47" t="e">
        <f>VALUE(SUBSTITUTE(SUBSTITUTE(SUBSTITUTE(SUBSTITUTE(SUBSTITUTE('Aqui Planilha'!B31, ".", "/"), "-","/"), ";", "/"), ":", "/"), "/", "/"))</f>
        <v>#VALUE!</v>
      </c>
      <c r="C31" s="45" t="str">
        <f>SUBSTITUTE(SUBSTITUTE(UPPER('Aqui Planilha'!C31),"MASCULINO","M"),"FEMININO","F")</f>
        <v/>
      </c>
      <c r="D31" s="48" t="str">
        <f>SUBSTITUTE(SUBSTITUTE(SUBSTITUTE(SUBSTITUTE('Aqui Planilha'!D31, ".", ""), "-",""), ";", ""), ":", "")</f>
        <v/>
      </c>
      <c r="E31" s="45" t="str">
        <f>SUBSTITUTE(SUBSTITUTE(UPPER(ACENTO('Aqui Planilha'!E31)),"'",""), ".", "")</f>
        <v/>
      </c>
      <c r="F31" s="45" t="str">
        <f>UPPER(ACENTO('Aqui Planilha'!F31))</f>
        <v/>
      </c>
      <c r="G31" s="45" t="str">
        <f>UPPER(ACENTO('Aqui Planilha'!G31))</f>
        <v/>
      </c>
      <c r="H31" s="44" t="str">
        <f>SUBSTITUTE(SUBSTITUTE(SUBSTITUTE(SUBSTITUTE(SUBSTITUTE(SUBSTITUTE(SUBSTITUTE('Aqui Planilha'!H31,"","0"),"Sn","0"),"SN","0"),"sn","0"),"sN","0"),"S/N","0")," ","")</f>
        <v/>
      </c>
      <c r="I31" s="45" t="str">
        <f>UPPER(ACENTO('Aqui Planilha'!I31))</f>
        <v/>
      </c>
      <c r="J31" s="45" t="str">
        <f>UPPER(ACENTO('Aqui Planilha'!J31))</f>
        <v/>
      </c>
      <c r="K31" s="45" t="str">
        <f>SUBSTITUTE(UPPER(ACENTO('Aqui Planilha'!K31)), " ", "")</f>
        <v/>
      </c>
      <c r="L31" s="49" t="e">
        <f>(REPT("0",11-LEN(FormulaOcult!L31))&amp;FormulaOcult!L31)</f>
        <v>#VALUE!</v>
      </c>
      <c r="M31" s="48" t="str">
        <f>SUBSTITUTE(SUBSTITUTE(SUBSTITUTE(SUBSTITUTE(SUBSTITUTE('Aqui Planilha'!M31, ".", ""), "-",""), ";", ""), ":", ""), " ", "")</f>
        <v/>
      </c>
      <c r="N31" s="47" t="e">
        <f>VALUE(SUBSTITUTE(SUBSTITUTE(SUBSTITUTE(SUBSTITUTE(SUBSTITUTE('Aqui Planilha'!N31, ".", "/"), "-","/"), ";", "/"), ":", "/"), "/", "/"))</f>
        <v>#VALUE!</v>
      </c>
      <c r="O31" s="45" t="str">
        <f>SUBSTITUTE(SUBSTITUTE(SUBSTITUTE(UPPER(ACENTO('Aqui Planilha'!O31)), "/MG", ""), "/SC", ""), "/RS", "")</f>
        <v/>
      </c>
      <c r="P31" s="45" t="str">
        <f>SUBSTITUTE(UPPER(ACENTO('Aqui Planilha'!P31)), " ", "")</f>
        <v/>
      </c>
      <c r="Q31" s="44" t="str">
        <f>SUBSTITUTE('Aqui Planilha'!Q31, " ", "")</f>
        <v/>
      </c>
      <c r="R31" s="45" t="str">
        <f>UPPER(ACENTO('Aqui Planilha'!R31))</f>
        <v/>
      </c>
      <c r="S31" s="50" t="str">
        <f>SUBSTITUTE(SUBSTITUTE(SUBSTITUTE(SUBSTITUTE('Aqui Planilha'!S31, ".", ""), "-",""), ";", ""), ":", "")</f>
        <v/>
      </c>
      <c r="T31" s="50" t="str">
        <f>SUBSTITUTE(SUBSTITUTE(SUBSTITUTE(SUBSTITUTE('Aqui Planilha'!T31, ".", ""), "-",""), ";", ""), ":", "")</f>
        <v/>
      </c>
      <c r="U31" s="62" t="str">
        <f>(REPT("0",4-LEN(SUBSTITUTE(SUBSTITUTE(SUBSTITUTE(SUBSTITUTE('Aqui Planilha'!U31,".",""),"-",""),";",""),":","")))) &amp; 'Aqui Planilha'!U31</f>
        <v>0000</v>
      </c>
      <c r="V31" s="50" t="str">
        <f>SUBSTITUTE(SUBSTITUTE(SUBSTITUTE(SUBSTITUTE('Aqui Planilha'!V31, ".", ""), "-",""), ";", ""), ":", "")</f>
        <v/>
      </c>
      <c r="W31" s="62" t="str">
        <f>(REPT("0",2-LEN(SUBSTITUTE(SUBSTITUTE(SUBSTITUTE(SUBSTITUTE('Aqui Planilha'!W31,".",""),"-",""),";",""),":","")))) &amp; 'Aqui Planilha'!W31</f>
        <v>00</v>
      </c>
    </row>
    <row r="32" spans="1:23">
      <c r="A32" s="40" t="str" cm="1">
        <f t="array" ref="A32">UPPER(ACENTO('Aqui Planilha'!A32))</f>
        <v/>
      </c>
      <c r="B32" s="47" t="e">
        <f>VALUE(SUBSTITUTE(SUBSTITUTE(SUBSTITUTE(SUBSTITUTE(SUBSTITUTE('Aqui Planilha'!B32, ".", "/"), "-","/"), ";", "/"), ":", "/"), "/", "/"))</f>
        <v>#VALUE!</v>
      </c>
      <c r="C32" s="45" t="str">
        <f>SUBSTITUTE(SUBSTITUTE(UPPER('Aqui Planilha'!C32),"MASCULINO","M"),"FEMININO","F")</f>
        <v/>
      </c>
      <c r="D32" s="48" t="str">
        <f>SUBSTITUTE(SUBSTITUTE(SUBSTITUTE(SUBSTITUTE('Aqui Planilha'!D32, ".", ""), "-",""), ";", ""), ":", "")</f>
        <v/>
      </c>
      <c r="E32" s="45" t="str">
        <f>SUBSTITUTE(SUBSTITUTE(UPPER(ACENTO('Aqui Planilha'!E32)),"'",""), ".", "")</f>
        <v/>
      </c>
      <c r="F32" s="45" t="str">
        <f>UPPER(ACENTO('Aqui Planilha'!F32))</f>
        <v/>
      </c>
      <c r="G32" s="45" t="str">
        <f>UPPER(ACENTO('Aqui Planilha'!G32))</f>
        <v/>
      </c>
      <c r="H32" s="44" t="str">
        <f>SUBSTITUTE(SUBSTITUTE(SUBSTITUTE(SUBSTITUTE(SUBSTITUTE(SUBSTITUTE(SUBSTITUTE('Aqui Planilha'!H32,"","0"),"Sn","0"),"SN","0"),"sn","0"),"sN","0"),"S/N","0")," ","")</f>
        <v/>
      </c>
      <c r="I32" s="45" t="str">
        <f>UPPER(ACENTO('Aqui Planilha'!I32))</f>
        <v/>
      </c>
      <c r="J32" s="45" t="str">
        <f>UPPER(ACENTO('Aqui Planilha'!J32))</f>
        <v/>
      </c>
      <c r="K32" s="45" t="str">
        <f>SUBSTITUTE(UPPER(ACENTO('Aqui Planilha'!K32)), " ", "")</f>
        <v/>
      </c>
      <c r="L32" s="49" t="e">
        <f>(REPT("0",11-LEN(FormulaOcult!L32))&amp;FormulaOcult!L32)</f>
        <v>#VALUE!</v>
      </c>
      <c r="M32" s="48" t="str">
        <f>SUBSTITUTE(SUBSTITUTE(SUBSTITUTE(SUBSTITUTE(SUBSTITUTE('Aqui Planilha'!M32, ".", ""), "-",""), ";", ""), ":", ""), " ", "")</f>
        <v/>
      </c>
      <c r="N32" s="47" t="e">
        <f>VALUE(SUBSTITUTE(SUBSTITUTE(SUBSTITUTE(SUBSTITUTE(SUBSTITUTE('Aqui Planilha'!N32, ".", "/"), "-","/"), ";", "/"), ":", "/"), "/", "/"))</f>
        <v>#VALUE!</v>
      </c>
      <c r="O32" s="45" t="str">
        <f>SUBSTITUTE(SUBSTITUTE(SUBSTITUTE(UPPER(ACENTO('Aqui Planilha'!O32)), "/MG", ""), "/SC", ""), "/RS", "")</f>
        <v/>
      </c>
      <c r="P32" s="45" t="str">
        <f>SUBSTITUTE(UPPER(ACENTO('Aqui Planilha'!P32)), " ", "")</f>
        <v/>
      </c>
      <c r="Q32" s="44" t="str">
        <f>SUBSTITUTE('Aqui Planilha'!Q32, " ", "")</f>
        <v/>
      </c>
      <c r="R32" s="45" t="str">
        <f>UPPER(ACENTO('Aqui Planilha'!R32))</f>
        <v/>
      </c>
      <c r="S32" s="50" t="str">
        <f>SUBSTITUTE(SUBSTITUTE(SUBSTITUTE(SUBSTITUTE('Aqui Planilha'!S32, ".", ""), "-",""), ";", ""), ":", "")</f>
        <v/>
      </c>
      <c r="T32" s="50" t="str">
        <f>SUBSTITUTE(SUBSTITUTE(SUBSTITUTE(SUBSTITUTE('Aqui Planilha'!T32, ".", ""), "-",""), ";", ""), ":", "")</f>
        <v/>
      </c>
      <c r="U32" s="62" t="str">
        <f>(REPT("0",4-LEN(SUBSTITUTE(SUBSTITUTE(SUBSTITUTE(SUBSTITUTE('Aqui Planilha'!U32,".",""),"-",""),";",""),":","")))) &amp; 'Aqui Planilha'!U32</f>
        <v>0000</v>
      </c>
      <c r="V32" s="50" t="str">
        <f>SUBSTITUTE(SUBSTITUTE(SUBSTITUTE(SUBSTITUTE('Aqui Planilha'!V32, ".", ""), "-",""), ";", ""), ":", "")</f>
        <v/>
      </c>
      <c r="W32" s="62" t="str">
        <f>(REPT("0",2-LEN(SUBSTITUTE(SUBSTITUTE(SUBSTITUTE(SUBSTITUTE('Aqui Planilha'!W32,".",""),"-",""),";",""),":","")))) &amp; 'Aqui Planilha'!W32</f>
        <v>00</v>
      </c>
    </row>
    <row r="33" spans="1:23">
      <c r="A33" s="40" t="str" cm="1">
        <f t="array" ref="A33">UPPER(ACENTO('Aqui Planilha'!A33))</f>
        <v/>
      </c>
      <c r="B33" s="47" t="e">
        <f>VALUE(SUBSTITUTE(SUBSTITUTE(SUBSTITUTE(SUBSTITUTE(SUBSTITUTE('Aqui Planilha'!B33, ".", "/"), "-","/"), ";", "/"), ":", "/"), "/", "/"))</f>
        <v>#VALUE!</v>
      </c>
      <c r="C33" s="45" t="str">
        <f>SUBSTITUTE(SUBSTITUTE(UPPER('Aqui Planilha'!C33),"MASCULINO","M"),"FEMININO","F")</f>
        <v/>
      </c>
      <c r="D33" s="48" t="str">
        <f>SUBSTITUTE(SUBSTITUTE(SUBSTITUTE(SUBSTITUTE('Aqui Planilha'!D33, ".", ""), "-",""), ";", ""), ":", "")</f>
        <v/>
      </c>
      <c r="E33" s="45" t="str">
        <f>SUBSTITUTE(SUBSTITUTE(UPPER(ACENTO('Aqui Planilha'!E33)),"'",""), ".", "")</f>
        <v/>
      </c>
      <c r="F33" s="45" t="str">
        <f>UPPER(ACENTO('Aqui Planilha'!F33))</f>
        <v/>
      </c>
      <c r="G33" s="45" t="str">
        <f>UPPER(ACENTO('Aqui Planilha'!G33))</f>
        <v/>
      </c>
      <c r="H33" s="44" t="str">
        <f>SUBSTITUTE(SUBSTITUTE(SUBSTITUTE(SUBSTITUTE(SUBSTITUTE(SUBSTITUTE(SUBSTITUTE('Aqui Planilha'!H33,"","0"),"Sn","0"),"SN","0"),"sn","0"),"sN","0"),"S/N","0")," ","")</f>
        <v/>
      </c>
      <c r="I33" s="45" t="str">
        <f>UPPER(ACENTO('Aqui Planilha'!I33))</f>
        <v/>
      </c>
      <c r="J33" s="45" t="str">
        <f>UPPER(ACENTO('Aqui Planilha'!J33))</f>
        <v/>
      </c>
      <c r="K33" s="45" t="str">
        <f>SUBSTITUTE(UPPER(ACENTO('Aqui Planilha'!K33)), " ", "")</f>
        <v/>
      </c>
      <c r="L33" s="49" t="e">
        <f>(REPT("0",11-LEN(FormulaOcult!L33))&amp;FormulaOcult!L33)</f>
        <v>#VALUE!</v>
      </c>
      <c r="M33" s="48" t="str">
        <f>SUBSTITUTE(SUBSTITUTE(SUBSTITUTE(SUBSTITUTE(SUBSTITUTE('Aqui Planilha'!M33, ".", ""), "-",""), ";", ""), ":", ""), " ", "")</f>
        <v/>
      </c>
      <c r="N33" s="47" t="e">
        <f>VALUE(SUBSTITUTE(SUBSTITUTE(SUBSTITUTE(SUBSTITUTE(SUBSTITUTE('Aqui Planilha'!N33, ".", "/"), "-","/"), ";", "/"), ":", "/"), "/", "/"))</f>
        <v>#VALUE!</v>
      </c>
      <c r="O33" s="45" t="str">
        <f>SUBSTITUTE(SUBSTITUTE(SUBSTITUTE(UPPER(ACENTO('Aqui Planilha'!O33)), "/MG", ""), "/SC", ""), "/RS", "")</f>
        <v/>
      </c>
      <c r="P33" s="45" t="str">
        <f>SUBSTITUTE(UPPER(ACENTO('Aqui Planilha'!P33)), " ", "")</f>
        <v/>
      </c>
      <c r="Q33" s="44" t="str">
        <f>SUBSTITUTE('Aqui Planilha'!Q33, " ", "")</f>
        <v/>
      </c>
      <c r="R33" s="45" t="str">
        <f>UPPER(ACENTO('Aqui Planilha'!R33))</f>
        <v/>
      </c>
      <c r="S33" s="50" t="str">
        <f>SUBSTITUTE(SUBSTITUTE(SUBSTITUTE(SUBSTITUTE('Aqui Planilha'!S33, ".", ""), "-",""), ";", ""), ":", "")</f>
        <v/>
      </c>
      <c r="T33" s="50" t="str">
        <f>SUBSTITUTE(SUBSTITUTE(SUBSTITUTE(SUBSTITUTE('Aqui Planilha'!T33, ".", ""), "-",""), ";", ""), ":", "")</f>
        <v/>
      </c>
      <c r="U33" s="62" t="str">
        <f>(REPT("0",4-LEN(SUBSTITUTE(SUBSTITUTE(SUBSTITUTE(SUBSTITUTE('Aqui Planilha'!U33,".",""),"-",""),";",""),":","")))) &amp; 'Aqui Planilha'!U33</f>
        <v>0000</v>
      </c>
      <c r="V33" s="50" t="str">
        <f>SUBSTITUTE(SUBSTITUTE(SUBSTITUTE(SUBSTITUTE('Aqui Planilha'!V33, ".", ""), "-",""), ";", ""), ":", "")</f>
        <v/>
      </c>
      <c r="W33" s="62" t="str">
        <f>(REPT("0",2-LEN(SUBSTITUTE(SUBSTITUTE(SUBSTITUTE(SUBSTITUTE('Aqui Planilha'!W33,".",""),"-",""),";",""),":","")))) &amp; 'Aqui Planilha'!W33</f>
        <v>00</v>
      </c>
    </row>
    <row r="34" spans="1:23">
      <c r="A34" s="40" t="str" cm="1">
        <f t="array" ref="A34">UPPER(ACENTO('Aqui Planilha'!A34))</f>
        <v/>
      </c>
      <c r="B34" s="47" t="e">
        <f>VALUE(SUBSTITUTE(SUBSTITUTE(SUBSTITUTE(SUBSTITUTE(SUBSTITUTE('Aqui Planilha'!B34, ".", "/"), "-","/"), ";", "/"), ":", "/"), "/", "/"))</f>
        <v>#VALUE!</v>
      </c>
      <c r="C34" s="45" t="str">
        <f>SUBSTITUTE(SUBSTITUTE(UPPER('Aqui Planilha'!C34),"MASCULINO","M"),"FEMININO","F")</f>
        <v/>
      </c>
      <c r="D34" s="48" t="str">
        <f>SUBSTITUTE(SUBSTITUTE(SUBSTITUTE(SUBSTITUTE('Aqui Planilha'!D34, ".", ""), "-",""), ";", ""), ":", "")</f>
        <v/>
      </c>
      <c r="E34" s="45" t="str">
        <f>SUBSTITUTE(SUBSTITUTE(UPPER(ACENTO('Aqui Planilha'!E34)),"'",""), ".", "")</f>
        <v/>
      </c>
      <c r="F34" s="45" t="str">
        <f>UPPER(ACENTO('Aqui Planilha'!F34))</f>
        <v/>
      </c>
      <c r="G34" s="45" t="str">
        <f>UPPER(ACENTO('Aqui Planilha'!G34))</f>
        <v/>
      </c>
      <c r="H34" s="44" t="str">
        <f>SUBSTITUTE(SUBSTITUTE(SUBSTITUTE(SUBSTITUTE(SUBSTITUTE(SUBSTITUTE(SUBSTITUTE('Aqui Planilha'!H34,"","0"),"Sn","0"),"SN","0"),"sn","0"),"sN","0"),"S/N","0")," ","")</f>
        <v/>
      </c>
      <c r="I34" s="45" t="str">
        <f>UPPER(ACENTO('Aqui Planilha'!I34))</f>
        <v/>
      </c>
      <c r="J34" s="45" t="str">
        <f>UPPER(ACENTO('Aqui Planilha'!J34))</f>
        <v/>
      </c>
      <c r="K34" s="45" t="str">
        <f>SUBSTITUTE(UPPER(ACENTO('Aqui Planilha'!K34)), " ", "")</f>
        <v/>
      </c>
      <c r="L34" s="49" t="e">
        <f>(REPT("0",11-LEN(FormulaOcult!L34))&amp;FormulaOcult!L34)</f>
        <v>#VALUE!</v>
      </c>
      <c r="M34" s="48" t="str">
        <f>SUBSTITUTE(SUBSTITUTE(SUBSTITUTE(SUBSTITUTE(SUBSTITUTE('Aqui Planilha'!M34, ".", ""), "-",""), ";", ""), ":", ""), " ", "")</f>
        <v/>
      </c>
      <c r="N34" s="47" t="e">
        <f>VALUE(SUBSTITUTE(SUBSTITUTE(SUBSTITUTE(SUBSTITUTE(SUBSTITUTE('Aqui Planilha'!N34, ".", "/"), "-","/"), ";", "/"), ":", "/"), "/", "/"))</f>
        <v>#VALUE!</v>
      </c>
      <c r="O34" s="45" t="str">
        <f>SUBSTITUTE(SUBSTITUTE(SUBSTITUTE(UPPER(ACENTO('Aqui Planilha'!O34)), "/MG", ""), "/SC", ""), "/RS", "")</f>
        <v/>
      </c>
      <c r="P34" s="45" t="str">
        <f>SUBSTITUTE(UPPER(ACENTO('Aqui Planilha'!P34)), " ", "")</f>
        <v/>
      </c>
      <c r="Q34" s="44" t="str">
        <f>SUBSTITUTE('Aqui Planilha'!Q34, " ", "")</f>
        <v/>
      </c>
      <c r="R34" s="45" t="str">
        <f>UPPER(ACENTO('Aqui Planilha'!R34))</f>
        <v/>
      </c>
      <c r="S34" s="50" t="str">
        <f>SUBSTITUTE(SUBSTITUTE(SUBSTITUTE(SUBSTITUTE('Aqui Planilha'!S34, ".", ""), "-",""), ";", ""), ":", "")</f>
        <v/>
      </c>
      <c r="T34" s="50" t="str">
        <f>SUBSTITUTE(SUBSTITUTE(SUBSTITUTE(SUBSTITUTE('Aqui Planilha'!T34, ".", ""), "-",""), ";", ""), ":", "")</f>
        <v/>
      </c>
      <c r="U34" s="62" t="str">
        <f>(REPT("0",4-LEN(SUBSTITUTE(SUBSTITUTE(SUBSTITUTE(SUBSTITUTE('Aqui Planilha'!U34,".",""),"-",""),";",""),":","")))) &amp; 'Aqui Planilha'!U34</f>
        <v>0000</v>
      </c>
      <c r="V34" s="50" t="str">
        <f>SUBSTITUTE(SUBSTITUTE(SUBSTITUTE(SUBSTITUTE('Aqui Planilha'!V34, ".", ""), "-",""), ";", ""), ":", "")</f>
        <v/>
      </c>
      <c r="W34" s="62" t="str">
        <f>(REPT("0",2-LEN(SUBSTITUTE(SUBSTITUTE(SUBSTITUTE(SUBSTITUTE('Aqui Planilha'!W34,".",""),"-",""),";",""),":","")))) &amp; 'Aqui Planilha'!W34</f>
        <v>00</v>
      </c>
    </row>
    <row r="35" spans="1:23">
      <c r="A35" s="40" t="str" cm="1">
        <f t="array" ref="A35">UPPER(ACENTO('Aqui Planilha'!A35))</f>
        <v/>
      </c>
      <c r="B35" s="47" t="e">
        <f>VALUE(SUBSTITUTE(SUBSTITUTE(SUBSTITUTE(SUBSTITUTE(SUBSTITUTE('Aqui Planilha'!B35, ".", "/"), "-","/"), ";", "/"), ":", "/"), "/", "/"))</f>
        <v>#VALUE!</v>
      </c>
      <c r="C35" s="45" t="str">
        <f>SUBSTITUTE(SUBSTITUTE(UPPER('Aqui Planilha'!C35),"MASCULINO","M"),"FEMININO","F")</f>
        <v/>
      </c>
      <c r="D35" s="48" t="str">
        <f>SUBSTITUTE(SUBSTITUTE(SUBSTITUTE(SUBSTITUTE('Aqui Planilha'!D35, ".", ""), "-",""), ";", ""), ":", "")</f>
        <v/>
      </c>
      <c r="E35" s="45" t="str">
        <f>SUBSTITUTE(SUBSTITUTE(UPPER(ACENTO('Aqui Planilha'!E35)),"'",""), ".", "")</f>
        <v/>
      </c>
      <c r="F35" s="45" t="str">
        <f>UPPER(ACENTO('Aqui Planilha'!F35))</f>
        <v/>
      </c>
      <c r="G35" s="45" t="str">
        <f>UPPER(ACENTO('Aqui Planilha'!G35))</f>
        <v/>
      </c>
      <c r="H35" s="44" t="str">
        <f>SUBSTITUTE(SUBSTITUTE(SUBSTITUTE(SUBSTITUTE(SUBSTITUTE(SUBSTITUTE(SUBSTITUTE('Aqui Planilha'!H35,"","0"),"Sn","0"),"SN","0"),"sn","0"),"sN","0"),"S/N","0")," ","")</f>
        <v/>
      </c>
      <c r="I35" s="45" t="str">
        <f>UPPER(ACENTO('Aqui Planilha'!I35))</f>
        <v/>
      </c>
      <c r="J35" s="45" t="str">
        <f>UPPER(ACENTO('Aqui Planilha'!J35))</f>
        <v/>
      </c>
      <c r="K35" s="45" t="str">
        <f>SUBSTITUTE(UPPER(ACENTO('Aqui Planilha'!K35)), " ", "")</f>
        <v/>
      </c>
      <c r="L35" s="49" t="e">
        <f>(REPT("0",11-LEN(FormulaOcult!L35))&amp;FormulaOcult!L35)</f>
        <v>#VALUE!</v>
      </c>
      <c r="M35" s="48" t="str">
        <f>SUBSTITUTE(SUBSTITUTE(SUBSTITUTE(SUBSTITUTE(SUBSTITUTE('Aqui Planilha'!M35, ".", ""), "-",""), ";", ""), ":", ""), " ", "")</f>
        <v/>
      </c>
      <c r="N35" s="47" t="e">
        <f>VALUE(SUBSTITUTE(SUBSTITUTE(SUBSTITUTE(SUBSTITUTE(SUBSTITUTE('Aqui Planilha'!N35, ".", "/"), "-","/"), ";", "/"), ":", "/"), "/", "/"))</f>
        <v>#VALUE!</v>
      </c>
      <c r="O35" s="45" t="str">
        <f>SUBSTITUTE(SUBSTITUTE(SUBSTITUTE(UPPER(ACENTO('Aqui Planilha'!O35)), "/MG", ""), "/SC", ""), "/RS", "")</f>
        <v/>
      </c>
      <c r="P35" s="45" t="str">
        <f>SUBSTITUTE(UPPER(ACENTO('Aqui Planilha'!P35)), " ", "")</f>
        <v/>
      </c>
      <c r="Q35" s="44" t="str">
        <f>SUBSTITUTE('Aqui Planilha'!Q35, " ", "")</f>
        <v/>
      </c>
      <c r="R35" s="45" t="str">
        <f>UPPER(ACENTO('Aqui Planilha'!R35))</f>
        <v/>
      </c>
      <c r="S35" s="50" t="str">
        <f>SUBSTITUTE(SUBSTITUTE(SUBSTITUTE(SUBSTITUTE('Aqui Planilha'!S35, ".", ""), "-",""), ";", ""), ":", "")</f>
        <v/>
      </c>
      <c r="T35" s="50" t="str">
        <f>SUBSTITUTE(SUBSTITUTE(SUBSTITUTE(SUBSTITUTE('Aqui Planilha'!T35, ".", ""), "-",""), ";", ""), ":", "")</f>
        <v/>
      </c>
      <c r="U35" s="62" t="str">
        <f>(REPT("0",4-LEN(SUBSTITUTE(SUBSTITUTE(SUBSTITUTE(SUBSTITUTE('Aqui Planilha'!U35,".",""),"-",""),";",""),":","")))) &amp; 'Aqui Planilha'!U35</f>
        <v>0000</v>
      </c>
      <c r="V35" s="50" t="str">
        <f>SUBSTITUTE(SUBSTITUTE(SUBSTITUTE(SUBSTITUTE('Aqui Planilha'!V35, ".", ""), "-",""), ";", ""), ":", "")</f>
        <v/>
      </c>
      <c r="W35" s="62" t="str">
        <f>(REPT("0",2-LEN(SUBSTITUTE(SUBSTITUTE(SUBSTITUTE(SUBSTITUTE('Aqui Planilha'!W35,".",""),"-",""),";",""),":","")))) &amp; 'Aqui Planilha'!W35</f>
        <v>00</v>
      </c>
    </row>
    <row r="36" spans="1:23">
      <c r="A36" s="40" t="str" cm="1">
        <f t="array" ref="A36">UPPER(ACENTO('Aqui Planilha'!A36))</f>
        <v/>
      </c>
      <c r="B36" s="47" t="e">
        <f>VALUE(SUBSTITUTE(SUBSTITUTE(SUBSTITUTE(SUBSTITUTE(SUBSTITUTE('Aqui Planilha'!B36, ".", "/"), "-","/"), ";", "/"), ":", "/"), "/", "/"))</f>
        <v>#VALUE!</v>
      </c>
      <c r="C36" s="45" t="str">
        <f>SUBSTITUTE(SUBSTITUTE(UPPER('Aqui Planilha'!C36),"MASCULINO","M"),"FEMININO","F")</f>
        <v/>
      </c>
      <c r="D36" s="48" t="str">
        <f>SUBSTITUTE(SUBSTITUTE(SUBSTITUTE(SUBSTITUTE('Aqui Planilha'!D36, ".", ""), "-",""), ";", ""), ":", "")</f>
        <v/>
      </c>
      <c r="E36" s="45" t="str">
        <f>SUBSTITUTE(SUBSTITUTE(UPPER(ACENTO('Aqui Planilha'!E36)),"'",""), ".", "")</f>
        <v/>
      </c>
      <c r="F36" s="45" t="str">
        <f>UPPER(ACENTO('Aqui Planilha'!F36))</f>
        <v/>
      </c>
      <c r="G36" s="45" t="str">
        <f>UPPER(ACENTO('Aqui Planilha'!G36))</f>
        <v/>
      </c>
      <c r="H36" s="44" t="str">
        <f>SUBSTITUTE(SUBSTITUTE(SUBSTITUTE(SUBSTITUTE(SUBSTITUTE(SUBSTITUTE(SUBSTITUTE('Aqui Planilha'!H36,"","0"),"Sn","0"),"SN","0"),"sn","0"),"sN","0"),"S/N","0")," ","")</f>
        <v/>
      </c>
      <c r="I36" s="45" t="str">
        <f>UPPER(ACENTO('Aqui Planilha'!I36))</f>
        <v/>
      </c>
      <c r="J36" s="45" t="str">
        <f>UPPER(ACENTO('Aqui Planilha'!J36))</f>
        <v/>
      </c>
      <c r="K36" s="45" t="str">
        <f>SUBSTITUTE(UPPER(ACENTO('Aqui Planilha'!K36)), " ", "")</f>
        <v/>
      </c>
      <c r="L36" s="49" t="e">
        <f>(REPT("0",11-LEN(FormulaOcult!L36))&amp;FormulaOcult!L36)</f>
        <v>#VALUE!</v>
      </c>
      <c r="M36" s="48" t="str">
        <f>SUBSTITUTE(SUBSTITUTE(SUBSTITUTE(SUBSTITUTE(SUBSTITUTE('Aqui Planilha'!M36, ".", ""), "-",""), ";", ""), ":", ""), " ", "")</f>
        <v/>
      </c>
      <c r="N36" s="47" t="e">
        <f>VALUE(SUBSTITUTE(SUBSTITUTE(SUBSTITUTE(SUBSTITUTE(SUBSTITUTE('Aqui Planilha'!N36, ".", "/"), "-","/"), ";", "/"), ":", "/"), "/", "/"))</f>
        <v>#VALUE!</v>
      </c>
      <c r="O36" s="45" t="str">
        <f>SUBSTITUTE(SUBSTITUTE(SUBSTITUTE(UPPER(ACENTO('Aqui Planilha'!O36)), "/MG", ""), "/SC", ""), "/RS", "")</f>
        <v/>
      </c>
      <c r="P36" s="45" t="str">
        <f>SUBSTITUTE(UPPER(ACENTO('Aqui Planilha'!P36)), " ", "")</f>
        <v/>
      </c>
      <c r="Q36" s="44" t="str">
        <f>SUBSTITUTE('Aqui Planilha'!Q36, " ", "")</f>
        <v/>
      </c>
      <c r="R36" s="45" t="str">
        <f>UPPER(ACENTO('Aqui Planilha'!R36))</f>
        <v/>
      </c>
      <c r="S36" s="50" t="str">
        <f>SUBSTITUTE(SUBSTITUTE(SUBSTITUTE(SUBSTITUTE('Aqui Planilha'!S36, ".", ""), "-",""), ";", ""), ":", "")</f>
        <v/>
      </c>
      <c r="T36" s="50" t="str">
        <f>SUBSTITUTE(SUBSTITUTE(SUBSTITUTE(SUBSTITUTE('Aqui Planilha'!T36, ".", ""), "-",""), ";", ""), ":", "")</f>
        <v/>
      </c>
      <c r="U36" s="62" t="str">
        <f>(REPT("0",4-LEN(SUBSTITUTE(SUBSTITUTE(SUBSTITUTE(SUBSTITUTE('Aqui Planilha'!U36,".",""),"-",""),";",""),":","")))) &amp; 'Aqui Planilha'!U36</f>
        <v>0000</v>
      </c>
      <c r="V36" s="50" t="str">
        <f>SUBSTITUTE(SUBSTITUTE(SUBSTITUTE(SUBSTITUTE('Aqui Planilha'!V36, ".", ""), "-",""), ";", ""), ":", "")</f>
        <v/>
      </c>
      <c r="W36" s="62" t="str">
        <f>(REPT("0",2-LEN(SUBSTITUTE(SUBSTITUTE(SUBSTITUTE(SUBSTITUTE('Aqui Planilha'!W36,".",""),"-",""),";",""),":","")))) &amp; 'Aqui Planilha'!W36</f>
        <v>00</v>
      </c>
    </row>
    <row r="37" spans="1:23">
      <c r="A37" s="40" t="str" cm="1">
        <f t="array" ref="A37">UPPER(ACENTO('Aqui Planilha'!A37))</f>
        <v/>
      </c>
      <c r="B37" s="47" t="e">
        <f>VALUE(SUBSTITUTE(SUBSTITUTE(SUBSTITUTE(SUBSTITUTE(SUBSTITUTE('Aqui Planilha'!B37, ".", "/"), "-","/"), ";", "/"), ":", "/"), "/", "/"))</f>
        <v>#VALUE!</v>
      </c>
      <c r="C37" s="45" t="str">
        <f>SUBSTITUTE(SUBSTITUTE(UPPER('Aqui Planilha'!C37),"MASCULINO","M"),"FEMININO","F")</f>
        <v/>
      </c>
      <c r="D37" s="48" t="str">
        <f>SUBSTITUTE(SUBSTITUTE(SUBSTITUTE(SUBSTITUTE('Aqui Planilha'!D37, ".", ""), "-",""), ";", ""), ":", "")</f>
        <v/>
      </c>
      <c r="E37" s="45" t="str">
        <f>SUBSTITUTE(SUBSTITUTE(UPPER(ACENTO('Aqui Planilha'!E37)),"'",""), ".", "")</f>
        <v/>
      </c>
      <c r="F37" s="45" t="str">
        <f>UPPER(ACENTO('Aqui Planilha'!F37))</f>
        <v/>
      </c>
      <c r="G37" s="45" t="str">
        <f>UPPER(ACENTO('Aqui Planilha'!G37))</f>
        <v/>
      </c>
      <c r="H37" s="44" t="str">
        <f>SUBSTITUTE(SUBSTITUTE(SUBSTITUTE(SUBSTITUTE(SUBSTITUTE(SUBSTITUTE(SUBSTITUTE('Aqui Planilha'!H37,"","0"),"Sn","0"),"SN","0"),"sn","0"),"sN","0"),"S/N","0")," ","")</f>
        <v/>
      </c>
      <c r="I37" s="45" t="str">
        <f>UPPER(ACENTO('Aqui Planilha'!I37))</f>
        <v/>
      </c>
      <c r="J37" s="45" t="str">
        <f>UPPER(ACENTO('Aqui Planilha'!J37))</f>
        <v/>
      </c>
      <c r="K37" s="45" t="str">
        <f>SUBSTITUTE(UPPER(ACENTO('Aqui Planilha'!K37)), " ", "")</f>
        <v/>
      </c>
      <c r="L37" s="49" t="e">
        <f>(REPT("0",11-LEN(FormulaOcult!L37))&amp;FormulaOcult!L37)</f>
        <v>#VALUE!</v>
      </c>
      <c r="M37" s="48" t="str">
        <f>SUBSTITUTE(SUBSTITUTE(SUBSTITUTE(SUBSTITUTE(SUBSTITUTE('Aqui Planilha'!M37, ".", ""), "-",""), ";", ""), ":", ""), " ", "")</f>
        <v/>
      </c>
      <c r="N37" s="47" t="e">
        <f>VALUE(SUBSTITUTE(SUBSTITUTE(SUBSTITUTE(SUBSTITUTE(SUBSTITUTE('Aqui Planilha'!N37, ".", "/"), "-","/"), ";", "/"), ":", "/"), "/", "/"))</f>
        <v>#VALUE!</v>
      </c>
      <c r="O37" s="45" t="str">
        <f>SUBSTITUTE(SUBSTITUTE(SUBSTITUTE(UPPER(ACENTO('Aqui Planilha'!O37)), "/MG", ""), "/SC", ""), "/RS", "")</f>
        <v/>
      </c>
      <c r="P37" s="45" t="str">
        <f>SUBSTITUTE(UPPER(ACENTO('Aqui Planilha'!P37)), " ", "")</f>
        <v/>
      </c>
      <c r="Q37" s="44" t="str">
        <f>SUBSTITUTE('Aqui Planilha'!Q37, " ", "")</f>
        <v/>
      </c>
      <c r="R37" s="45" t="str">
        <f>UPPER(ACENTO('Aqui Planilha'!R37))</f>
        <v/>
      </c>
      <c r="S37" s="50" t="str">
        <f>SUBSTITUTE(SUBSTITUTE(SUBSTITUTE(SUBSTITUTE('Aqui Planilha'!S37, ".", ""), "-",""), ";", ""), ":", "")</f>
        <v/>
      </c>
      <c r="T37" s="50" t="str">
        <f>SUBSTITUTE(SUBSTITUTE(SUBSTITUTE(SUBSTITUTE('Aqui Planilha'!T37, ".", ""), "-",""), ";", ""), ":", "")</f>
        <v/>
      </c>
      <c r="U37" s="62" t="str">
        <f>(REPT("0",4-LEN(SUBSTITUTE(SUBSTITUTE(SUBSTITUTE(SUBSTITUTE('Aqui Planilha'!U37,".",""),"-",""),";",""),":","")))) &amp; 'Aqui Planilha'!U37</f>
        <v>0000</v>
      </c>
      <c r="V37" s="50" t="str">
        <f>SUBSTITUTE(SUBSTITUTE(SUBSTITUTE(SUBSTITUTE('Aqui Planilha'!V37, ".", ""), "-",""), ";", ""), ":", "")</f>
        <v/>
      </c>
      <c r="W37" s="62" t="str">
        <f>(REPT("0",2-LEN(SUBSTITUTE(SUBSTITUTE(SUBSTITUTE(SUBSTITUTE('Aqui Planilha'!W37,".",""),"-",""),";",""),":","")))) &amp; 'Aqui Planilha'!W37</f>
        <v>00</v>
      </c>
    </row>
    <row r="38" spans="1:23">
      <c r="A38" s="40" t="str" cm="1">
        <f t="array" ref="A38">UPPER(ACENTO('Aqui Planilha'!A38))</f>
        <v/>
      </c>
      <c r="B38" s="47" t="e">
        <f>VALUE(SUBSTITUTE(SUBSTITUTE(SUBSTITUTE(SUBSTITUTE(SUBSTITUTE('Aqui Planilha'!B38, ".", "/"), "-","/"), ";", "/"), ":", "/"), "/", "/"))</f>
        <v>#VALUE!</v>
      </c>
      <c r="C38" s="45" t="str">
        <f>SUBSTITUTE(SUBSTITUTE(UPPER('Aqui Planilha'!C38),"MASCULINO","M"),"FEMININO","F")</f>
        <v/>
      </c>
      <c r="D38" s="48" t="str">
        <f>SUBSTITUTE(SUBSTITUTE(SUBSTITUTE(SUBSTITUTE('Aqui Planilha'!D38, ".", ""), "-",""), ";", ""), ":", "")</f>
        <v/>
      </c>
      <c r="E38" s="45" t="str">
        <f>SUBSTITUTE(SUBSTITUTE(UPPER(ACENTO('Aqui Planilha'!E38)),"'",""), ".", "")</f>
        <v/>
      </c>
      <c r="F38" s="45" t="str">
        <f>UPPER(ACENTO('Aqui Planilha'!F38))</f>
        <v/>
      </c>
      <c r="G38" s="45" t="str">
        <f>UPPER(ACENTO('Aqui Planilha'!G38))</f>
        <v/>
      </c>
      <c r="H38" s="44" t="str">
        <f>SUBSTITUTE(SUBSTITUTE(SUBSTITUTE(SUBSTITUTE(SUBSTITUTE(SUBSTITUTE(SUBSTITUTE('Aqui Planilha'!H38,"","0"),"Sn","0"),"SN","0"),"sn","0"),"sN","0"),"S/N","0")," ","")</f>
        <v/>
      </c>
      <c r="I38" s="45" t="str">
        <f>UPPER(ACENTO('Aqui Planilha'!I38))</f>
        <v/>
      </c>
      <c r="J38" s="45" t="str">
        <f>UPPER(ACENTO('Aqui Planilha'!J38))</f>
        <v/>
      </c>
      <c r="K38" s="45" t="str">
        <f>SUBSTITUTE(UPPER(ACENTO('Aqui Planilha'!K38)), " ", "")</f>
        <v/>
      </c>
      <c r="L38" s="49" t="e">
        <f>(REPT("0",11-LEN(FormulaOcult!L38))&amp;FormulaOcult!L38)</f>
        <v>#VALUE!</v>
      </c>
      <c r="M38" s="48" t="str">
        <f>SUBSTITUTE(SUBSTITUTE(SUBSTITUTE(SUBSTITUTE(SUBSTITUTE('Aqui Planilha'!M38, ".", ""), "-",""), ";", ""), ":", ""), " ", "")</f>
        <v/>
      </c>
      <c r="N38" s="47" t="e">
        <f>VALUE(SUBSTITUTE(SUBSTITUTE(SUBSTITUTE(SUBSTITUTE(SUBSTITUTE('Aqui Planilha'!N38, ".", "/"), "-","/"), ";", "/"), ":", "/"), "/", "/"))</f>
        <v>#VALUE!</v>
      </c>
      <c r="O38" s="45" t="str">
        <f>SUBSTITUTE(SUBSTITUTE(SUBSTITUTE(UPPER(ACENTO('Aqui Planilha'!O38)), "/MG", ""), "/SC", ""), "/RS", "")</f>
        <v/>
      </c>
      <c r="P38" s="45" t="str">
        <f>SUBSTITUTE(UPPER(ACENTO('Aqui Planilha'!P38)), " ", "")</f>
        <v/>
      </c>
      <c r="Q38" s="44" t="str">
        <f>SUBSTITUTE('Aqui Planilha'!Q38, " ", "")</f>
        <v/>
      </c>
      <c r="R38" s="45" t="str">
        <f>UPPER(ACENTO('Aqui Planilha'!R38))</f>
        <v/>
      </c>
      <c r="S38" s="50" t="str">
        <f>SUBSTITUTE(SUBSTITUTE(SUBSTITUTE(SUBSTITUTE('Aqui Planilha'!S38, ".", ""), "-",""), ";", ""), ":", "")</f>
        <v/>
      </c>
      <c r="T38" s="50" t="str">
        <f>SUBSTITUTE(SUBSTITUTE(SUBSTITUTE(SUBSTITUTE('Aqui Planilha'!T38, ".", ""), "-",""), ";", ""), ":", "")</f>
        <v/>
      </c>
      <c r="U38" s="62" t="str">
        <f>(REPT("0",4-LEN(SUBSTITUTE(SUBSTITUTE(SUBSTITUTE(SUBSTITUTE('Aqui Planilha'!U38,".",""),"-",""),";",""),":","")))) &amp; 'Aqui Planilha'!U38</f>
        <v>0000</v>
      </c>
      <c r="V38" s="50" t="str">
        <f>SUBSTITUTE(SUBSTITUTE(SUBSTITUTE(SUBSTITUTE('Aqui Planilha'!V38, ".", ""), "-",""), ";", ""), ":", "")</f>
        <v/>
      </c>
      <c r="W38" s="62" t="str">
        <f>(REPT("0",2-LEN(SUBSTITUTE(SUBSTITUTE(SUBSTITUTE(SUBSTITUTE('Aqui Planilha'!W38,".",""),"-",""),";",""),":","")))) &amp; 'Aqui Planilha'!W38</f>
        <v>00</v>
      </c>
    </row>
    <row r="39" spans="1:23">
      <c r="A39" s="40" t="str" cm="1">
        <f t="array" ref="A39">UPPER(ACENTO('Aqui Planilha'!A39))</f>
        <v/>
      </c>
      <c r="B39" s="47" t="e">
        <f>VALUE(SUBSTITUTE(SUBSTITUTE(SUBSTITUTE(SUBSTITUTE(SUBSTITUTE('Aqui Planilha'!B39, ".", "/"), "-","/"), ";", "/"), ":", "/"), "/", "/"))</f>
        <v>#VALUE!</v>
      </c>
      <c r="C39" s="45" t="str">
        <f>SUBSTITUTE(SUBSTITUTE(UPPER('Aqui Planilha'!C39),"MASCULINO","M"),"FEMININO","F")</f>
        <v/>
      </c>
      <c r="D39" s="48" t="str">
        <f>SUBSTITUTE(SUBSTITUTE(SUBSTITUTE(SUBSTITUTE('Aqui Planilha'!D39, ".", ""), "-",""), ";", ""), ":", "")</f>
        <v/>
      </c>
      <c r="E39" s="45" t="str">
        <f>SUBSTITUTE(SUBSTITUTE(UPPER(ACENTO('Aqui Planilha'!E39)),"'",""), ".", "")</f>
        <v/>
      </c>
      <c r="F39" s="45" t="str">
        <f>UPPER(ACENTO('Aqui Planilha'!F39))</f>
        <v/>
      </c>
      <c r="G39" s="45" t="str">
        <f>UPPER(ACENTO('Aqui Planilha'!G39))</f>
        <v/>
      </c>
      <c r="H39" s="44" t="str">
        <f>SUBSTITUTE(SUBSTITUTE(SUBSTITUTE(SUBSTITUTE(SUBSTITUTE(SUBSTITUTE(SUBSTITUTE('Aqui Planilha'!H39,"","0"),"Sn","0"),"SN","0"),"sn","0"),"sN","0"),"S/N","0")," ","")</f>
        <v/>
      </c>
      <c r="I39" s="45" t="str">
        <f>UPPER(ACENTO('Aqui Planilha'!I39))</f>
        <v/>
      </c>
      <c r="J39" s="45" t="str">
        <f>UPPER(ACENTO('Aqui Planilha'!J39))</f>
        <v/>
      </c>
      <c r="K39" s="45" t="str">
        <f>SUBSTITUTE(UPPER(ACENTO('Aqui Planilha'!K39)), " ", "")</f>
        <v/>
      </c>
      <c r="L39" s="49" t="e">
        <f>(REPT("0",11-LEN(FormulaOcult!L39))&amp;FormulaOcult!L39)</f>
        <v>#VALUE!</v>
      </c>
      <c r="M39" s="48" t="str">
        <f>SUBSTITUTE(SUBSTITUTE(SUBSTITUTE(SUBSTITUTE(SUBSTITUTE('Aqui Planilha'!M39, ".", ""), "-",""), ";", ""), ":", ""), " ", "")</f>
        <v/>
      </c>
      <c r="N39" s="47" t="e">
        <f>VALUE(SUBSTITUTE(SUBSTITUTE(SUBSTITUTE(SUBSTITUTE(SUBSTITUTE('Aqui Planilha'!N39, ".", "/"), "-","/"), ";", "/"), ":", "/"), "/", "/"))</f>
        <v>#VALUE!</v>
      </c>
      <c r="O39" s="45" t="str">
        <f>SUBSTITUTE(SUBSTITUTE(SUBSTITUTE(UPPER(ACENTO('Aqui Planilha'!O39)), "/MG", ""), "/SC", ""), "/RS", "")</f>
        <v/>
      </c>
      <c r="P39" s="45" t="str">
        <f>SUBSTITUTE(UPPER(ACENTO('Aqui Planilha'!P39)), " ", "")</f>
        <v/>
      </c>
      <c r="Q39" s="44" t="str">
        <f>SUBSTITUTE('Aqui Planilha'!Q39, " ", "")</f>
        <v/>
      </c>
      <c r="R39" s="45" t="str">
        <f>UPPER(ACENTO('Aqui Planilha'!R39))</f>
        <v/>
      </c>
      <c r="S39" s="50" t="str">
        <f>SUBSTITUTE(SUBSTITUTE(SUBSTITUTE(SUBSTITUTE('Aqui Planilha'!S39, ".", ""), "-",""), ";", ""), ":", "")</f>
        <v/>
      </c>
      <c r="T39" s="50" t="str">
        <f>SUBSTITUTE(SUBSTITUTE(SUBSTITUTE(SUBSTITUTE('Aqui Planilha'!T39, ".", ""), "-",""), ";", ""), ":", "")</f>
        <v/>
      </c>
      <c r="U39" s="62" t="str">
        <f>(REPT("0",4-LEN(SUBSTITUTE(SUBSTITUTE(SUBSTITUTE(SUBSTITUTE('Aqui Planilha'!U39,".",""),"-",""),";",""),":","")))) &amp; 'Aqui Planilha'!U39</f>
        <v>0000</v>
      </c>
      <c r="V39" s="50" t="str">
        <f>SUBSTITUTE(SUBSTITUTE(SUBSTITUTE(SUBSTITUTE('Aqui Planilha'!V39, ".", ""), "-",""), ";", ""), ":", "")</f>
        <v/>
      </c>
      <c r="W39" s="62" t="str">
        <f>(REPT("0",2-LEN(SUBSTITUTE(SUBSTITUTE(SUBSTITUTE(SUBSTITUTE('Aqui Planilha'!W39,".",""),"-",""),";",""),":","")))) &amp; 'Aqui Planilha'!W39</f>
        <v>00</v>
      </c>
    </row>
    <row r="40" spans="1:23">
      <c r="A40" s="40" t="str" cm="1">
        <f t="array" ref="A40">UPPER(ACENTO('Aqui Planilha'!A40))</f>
        <v/>
      </c>
      <c r="B40" s="47" t="e">
        <f>VALUE(SUBSTITUTE(SUBSTITUTE(SUBSTITUTE(SUBSTITUTE(SUBSTITUTE('Aqui Planilha'!B40, ".", "/"), "-","/"), ";", "/"), ":", "/"), "/", "/"))</f>
        <v>#VALUE!</v>
      </c>
      <c r="C40" s="45" t="str">
        <f>SUBSTITUTE(SUBSTITUTE(UPPER('Aqui Planilha'!C40),"MASCULINO","M"),"FEMININO","F")</f>
        <v/>
      </c>
      <c r="D40" s="48" t="str">
        <f>SUBSTITUTE(SUBSTITUTE(SUBSTITUTE(SUBSTITUTE('Aqui Planilha'!D40, ".", ""), "-",""), ";", ""), ":", "")</f>
        <v/>
      </c>
      <c r="E40" s="45" t="str">
        <f>SUBSTITUTE(SUBSTITUTE(UPPER(ACENTO('Aqui Planilha'!E40)),"'",""), ".", "")</f>
        <v/>
      </c>
      <c r="F40" s="45" t="str">
        <f>UPPER(ACENTO('Aqui Planilha'!F40))</f>
        <v/>
      </c>
      <c r="G40" s="45" t="str">
        <f>UPPER(ACENTO('Aqui Planilha'!G40))</f>
        <v/>
      </c>
      <c r="H40" s="44" t="str">
        <f>SUBSTITUTE(SUBSTITUTE(SUBSTITUTE(SUBSTITUTE(SUBSTITUTE(SUBSTITUTE(SUBSTITUTE('Aqui Planilha'!H40,"","0"),"Sn","0"),"SN","0"),"sn","0"),"sN","0"),"S/N","0")," ","")</f>
        <v/>
      </c>
      <c r="I40" s="45" t="str">
        <f>UPPER(ACENTO('Aqui Planilha'!I40))</f>
        <v/>
      </c>
      <c r="J40" s="45" t="str">
        <f>UPPER(ACENTO('Aqui Planilha'!J40))</f>
        <v/>
      </c>
      <c r="K40" s="45" t="str">
        <f>SUBSTITUTE(UPPER(ACENTO('Aqui Planilha'!K40)), " ", "")</f>
        <v/>
      </c>
      <c r="L40" s="49" t="e">
        <f>(REPT("0",11-LEN(FormulaOcult!L40))&amp;FormulaOcult!L40)</f>
        <v>#VALUE!</v>
      </c>
      <c r="M40" s="48" t="str">
        <f>SUBSTITUTE(SUBSTITUTE(SUBSTITUTE(SUBSTITUTE(SUBSTITUTE('Aqui Planilha'!M40, ".", ""), "-",""), ";", ""), ":", ""), " ", "")</f>
        <v/>
      </c>
      <c r="N40" s="47" t="e">
        <f>VALUE(SUBSTITUTE(SUBSTITUTE(SUBSTITUTE(SUBSTITUTE(SUBSTITUTE('Aqui Planilha'!N40, ".", "/"), "-","/"), ";", "/"), ":", "/"), "/", "/"))</f>
        <v>#VALUE!</v>
      </c>
      <c r="O40" s="45" t="str">
        <f>SUBSTITUTE(SUBSTITUTE(SUBSTITUTE(UPPER(ACENTO('Aqui Planilha'!O40)), "/MG", ""), "/SC", ""), "/RS", "")</f>
        <v/>
      </c>
      <c r="P40" s="45" t="str">
        <f>SUBSTITUTE(UPPER(ACENTO('Aqui Planilha'!P40)), " ", "")</f>
        <v/>
      </c>
      <c r="Q40" s="44" t="str">
        <f>SUBSTITUTE('Aqui Planilha'!Q40, " ", "")</f>
        <v/>
      </c>
      <c r="R40" s="45" t="str">
        <f>UPPER(ACENTO('Aqui Planilha'!R40))</f>
        <v/>
      </c>
      <c r="S40" s="50" t="str">
        <f>SUBSTITUTE(SUBSTITUTE(SUBSTITUTE(SUBSTITUTE('Aqui Planilha'!S40, ".", ""), "-",""), ";", ""), ":", "")</f>
        <v/>
      </c>
      <c r="T40" s="50" t="str">
        <f>SUBSTITUTE(SUBSTITUTE(SUBSTITUTE(SUBSTITUTE('Aqui Planilha'!T40, ".", ""), "-",""), ";", ""), ":", "")</f>
        <v/>
      </c>
      <c r="U40" s="62" t="str">
        <f>(REPT("0",4-LEN(SUBSTITUTE(SUBSTITUTE(SUBSTITUTE(SUBSTITUTE('Aqui Planilha'!U40,".",""),"-",""),";",""),":","")))) &amp; 'Aqui Planilha'!U40</f>
        <v>0000</v>
      </c>
      <c r="V40" s="50" t="str">
        <f>SUBSTITUTE(SUBSTITUTE(SUBSTITUTE(SUBSTITUTE('Aqui Planilha'!V40, ".", ""), "-",""), ";", ""), ":", "")</f>
        <v/>
      </c>
      <c r="W40" s="62" t="str">
        <f>(REPT("0",2-LEN(SUBSTITUTE(SUBSTITUTE(SUBSTITUTE(SUBSTITUTE('Aqui Planilha'!W40,".",""),"-",""),";",""),":","")))) &amp; 'Aqui Planilha'!W40</f>
        <v>00</v>
      </c>
    </row>
    <row r="41" spans="1:23">
      <c r="A41" s="40" t="str" cm="1">
        <f t="array" ref="A41">UPPER(ACENTO('Aqui Planilha'!A41))</f>
        <v/>
      </c>
      <c r="B41" s="47" t="e">
        <f>VALUE(SUBSTITUTE(SUBSTITUTE(SUBSTITUTE(SUBSTITUTE(SUBSTITUTE('Aqui Planilha'!B41, ".", "/"), "-","/"), ";", "/"), ":", "/"), "/", "/"))</f>
        <v>#VALUE!</v>
      </c>
      <c r="C41" s="45" t="str">
        <f>SUBSTITUTE(SUBSTITUTE(UPPER('Aqui Planilha'!C41),"MASCULINO","M"),"FEMININO","F")</f>
        <v/>
      </c>
      <c r="D41" s="48" t="str">
        <f>SUBSTITUTE(SUBSTITUTE(SUBSTITUTE(SUBSTITUTE('Aqui Planilha'!D41, ".", ""), "-",""), ";", ""), ":", "")</f>
        <v/>
      </c>
      <c r="E41" s="45" t="str">
        <f>SUBSTITUTE(SUBSTITUTE(UPPER(ACENTO('Aqui Planilha'!E41)),"'",""), ".", "")</f>
        <v/>
      </c>
      <c r="F41" s="45" t="str">
        <f>UPPER(ACENTO('Aqui Planilha'!F41))</f>
        <v/>
      </c>
      <c r="G41" s="45" t="str">
        <f>UPPER(ACENTO('Aqui Planilha'!G41))</f>
        <v/>
      </c>
      <c r="H41" s="44" t="str">
        <f>SUBSTITUTE(SUBSTITUTE(SUBSTITUTE(SUBSTITUTE(SUBSTITUTE(SUBSTITUTE(SUBSTITUTE('Aqui Planilha'!H41,"","0"),"Sn","0"),"SN","0"),"sn","0"),"sN","0"),"S/N","0")," ","")</f>
        <v/>
      </c>
      <c r="I41" s="45" t="str">
        <f>UPPER(ACENTO('Aqui Planilha'!I41))</f>
        <v/>
      </c>
      <c r="J41" s="45" t="str">
        <f>UPPER(ACENTO('Aqui Planilha'!J41))</f>
        <v/>
      </c>
      <c r="K41" s="45" t="str">
        <f>SUBSTITUTE(UPPER(ACENTO('Aqui Planilha'!K41)), " ", "")</f>
        <v/>
      </c>
      <c r="L41" s="49" t="e">
        <f>(REPT("0",11-LEN(FormulaOcult!L41))&amp;FormulaOcult!L41)</f>
        <v>#VALUE!</v>
      </c>
      <c r="M41" s="48" t="str">
        <f>SUBSTITUTE(SUBSTITUTE(SUBSTITUTE(SUBSTITUTE(SUBSTITUTE('Aqui Planilha'!M41, ".", ""), "-",""), ";", ""), ":", ""), " ", "")</f>
        <v/>
      </c>
      <c r="N41" s="47" t="e">
        <f>VALUE(SUBSTITUTE(SUBSTITUTE(SUBSTITUTE(SUBSTITUTE(SUBSTITUTE('Aqui Planilha'!N41, ".", "/"), "-","/"), ";", "/"), ":", "/"), "/", "/"))</f>
        <v>#VALUE!</v>
      </c>
      <c r="O41" s="45" t="str">
        <f>SUBSTITUTE(SUBSTITUTE(SUBSTITUTE(UPPER(ACENTO('Aqui Planilha'!O41)), "/MG", ""), "/SC", ""), "/RS", "")</f>
        <v/>
      </c>
      <c r="P41" s="45" t="str">
        <f>SUBSTITUTE(UPPER(ACENTO('Aqui Planilha'!P41)), " ", "")</f>
        <v/>
      </c>
      <c r="Q41" s="44" t="str">
        <f>SUBSTITUTE('Aqui Planilha'!Q41, " ", "")</f>
        <v/>
      </c>
      <c r="R41" s="45" t="str">
        <f>UPPER(ACENTO('Aqui Planilha'!R41))</f>
        <v/>
      </c>
      <c r="S41" s="50" t="str">
        <f>SUBSTITUTE(SUBSTITUTE(SUBSTITUTE(SUBSTITUTE('Aqui Planilha'!S41, ".", ""), "-",""), ";", ""), ":", "")</f>
        <v/>
      </c>
      <c r="T41" s="50" t="str">
        <f>SUBSTITUTE(SUBSTITUTE(SUBSTITUTE(SUBSTITUTE('Aqui Planilha'!T41, ".", ""), "-",""), ";", ""), ":", "")</f>
        <v/>
      </c>
      <c r="U41" s="62" t="str">
        <f>(REPT("0",4-LEN(SUBSTITUTE(SUBSTITUTE(SUBSTITUTE(SUBSTITUTE('Aqui Planilha'!U41,".",""),"-",""),";",""),":","")))) &amp; 'Aqui Planilha'!U41</f>
        <v>0000</v>
      </c>
      <c r="V41" s="50" t="str">
        <f>SUBSTITUTE(SUBSTITUTE(SUBSTITUTE(SUBSTITUTE('Aqui Planilha'!V41, ".", ""), "-",""), ";", ""), ":", "")</f>
        <v/>
      </c>
      <c r="W41" s="62" t="str">
        <f>(REPT("0",2-LEN(SUBSTITUTE(SUBSTITUTE(SUBSTITUTE(SUBSTITUTE('Aqui Planilha'!W41,".",""),"-",""),";",""),":","")))) &amp; 'Aqui Planilha'!W41</f>
        <v>00</v>
      </c>
    </row>
    <row r="42" spans="1:23">
      <c r="A42" s="40" t="str" cm="1">
        <f t="array" ref="A42">UPPER(ACENTO('Aqui Planilha'!A42))</f>
        <v/>
      </c>
      <c r="B42" s="47" t="e">
        <f>VALUE(SUBSTITUTE(SUBSTITUTE(SUBSTITUTE(SUBSTITUTE(SUBSTITUTE('Aqui Planilha'!B42, ".", "/"), "-","/"), ";", "/"), ":", "/"), "/", "/"))</f>
        <v>#VALUE!</v>
      </c>
      <c r="C42" s="45" t="str">
        <f>SUBSTITUTE(SUBSTITUTE(UPPER('Aqui Planilha'!C42),"MASCULINO","M"),"FEMININO","F")</f>
        <v/>
      </c>
      <c r="D42" s="48" t="str">
        <f>SUBSTITUTE(SUBSTITUTE(SUBSTITUTE(SUBSTITUTE('Aqui Planilha'!D42, ".", ""), "-",""), ";", ""), ":", "")</f>
        <v/>
      </c>
      <c r="E42" s="45" t="str">
        <f>SUBSTITUTE(SUBSTITUTE(UPPER(ACENTO('Aqui Planilha'!E42)),"'",""), ".", "")</f>
        <v/>
      </c>
      <c r="F42" s="45" t="str">
        <f>UPPER(ACENTO('Aqui Planilha'!F42))</f>
        <v/>
      </c>
      <c r="G42" s="45" t="str">
        <f>UPPER(ACENTO('Aqui Planilha'!G42))</f>
        <v/>
      </c>
      <c r="H42" s="44" t="str">
        <f>SUBSTITUTE(SUBSTITUTE(SUBSTITUTE(SUBSTITUTE(SUBSTITUTE(SUBSTITUTE(SUBSTITUTE('Aqui Planilha'!H42,"","0"),"Sn","0"),"SN","0"),"sn","0"),"sN","0"),"S/N","0")," ","")</f>
        <v/>
      </c>
      <c r="I42" s="45" t="str">
        <f>UPPER(ACENTO('Aqui Planilha'!I42))</f>
        <v/>
      </c>
      <c r="J42" s="45" t="str">
        <f>UPPER(ACENTO('Aqui Planilha'!J42))</f>
        <v/>
      </c>
      <c r="K42" s="45" t="str">
        <f>SUBSTITUTE(UPPER(ACENTO('Aqui Planilha'!K42)), " ", "")</f>
        <v/>
      </c>
      <c r="L42" s="49" t="e">
        <f>(REPT("0",11-LEN(FormulaOcult!L42))&amp;FormulaOcult!L42)</f>
        <v>#VALUE!</v>
      </c>
      <c r="M42" s="48" t="str">
        <f>SUBSTITUTE(SUBSTITUTE(SUBSTITUTE(SUBSTITUTE(SUBSTITUTE('Aqui Planilha'!M42, ".", ""), "-",""), ";", ""), ":", ""), " ", "")</f>
        <v/>
      </c>
      <c r="N42" s="47" t="e">
        <f>VALUE(SUBSTITUTE(SUBSTITUTE(SUBSTITUTE(SUBSTITUTE(SUBSTITUTE('Aqui Planilha'!N42, ".", "/"), "-","/"), ";", "/"), ":", "/"), "/", "/"))</f>
        <v>#VALUE!</v>
      </c>
      <c r="O42" s="45" t="str">
        <f>SUBSTITUTE(SUBSTITUTE(SUBSTITUTE(UPPER(ACENTO('Aqui Planilha'!O42)), "/MG", ""), "/SC", ""), "/RS", "")</f>
        <v/>
      </c>
      <c r="P42" s="45" t="str">
        <f>SUBSTITUTE(UPPER(ACENTO('Aqui Planilha'!P42)), " ", "")</f>
        <v/>
      </c>
      <c r="Q42" s="44" t="str">
        <f>SUBSTITUTE('Aqui Planilha'!Q42, " ", "")</f>
        <v/>
      </c>
      <c r="R42" s="45" t="str">
        <f>UPPER(ACENTO('Aqui Planilha'!R42))</f>
        <v/>
      </c>
      <c r="S42" s="50" t="str">
        <f>SUBSTITUTE(SUBSTITUTE(SUBSTITUTE(SUBSTITUTE('Aqui Planilha'!S42, ".", ""), "-",""), ";", ""), ":", "")</f>
        <v/>
      </c>
      <c r="T42" s="50" t="str">
        <f>SUBSTITUTE(SUBSTITUTE(SUBSTITUTE(SUBSTITUTE('Aqui Planilha'!T42, ".", ""), "-",""), ";", ""), ":", "")</f>
        <v/>
      </c>
      <c r="U42" s="62" t="str">
        <f>(REPT("0",4-LEN(SUBSTITUTE(SUBSTITUTE(SUBSTITUTE(SUBSTITUTE('Aqui Planilha'!U42,".",""),"-",""),";",""),":","")))) &amp; 'Aqui Planilha'!U42</f>
        <v>0000</v>
      </c>
      <c r="V42" s="50" t="str">
        <f>SUBSTITUTE(SUBSTITUTE(SUBSTITUTE(SUBSTITUTE('Aqui Planilha'!V42, ".", ""), "-",""), ";", ""), ":", "")</f>
        <v/>
      </c>
      <c r="W42" s="62" t="str">
        <f>(REPT("0",2-LEN(SUBSTITUTE(SUBSTITUTE(SUBSTITUTE(SUBSTITUTE('Aqui Planilha'!W42,".",""),"-",""),";",""),":","")))) &amp; 'Aqui Planilha'!W42</f>
        <v>00</v>
      </c>
    </row>
    <row r="43" spans="1:23">
      <c r="A43" s="40" t="str" cm="1">
        <f t="array" ref="A43">UPPER(ACENTO('Aqui Planilha'!A43))</f>
        <v/>
      </c>
      <c r="B43" s="47" t="e">
        <f>VALUE(SUBSTITUTE(SUBSTITUTE(SUBSTITUTE(SUBSTITUTE(SUBSTITUTE('Aqui Planilha'!B43, ".", "/"), "-","/"), ";", "/"), ":", "/"), "/", "/"))</f>
        <v>#VALUE!</v>
      </c>
      <c r="C43" s="45" t="str">
        <f>SUBSTITUTE(SUBSTITUTE(UPPER('Aqui Planilha'!C43),"MASCULINO","M"),"FEMININO","F")</f>
        <v/>
      </c>
      <c r="D43" s="48" t="str">
        <f>SUBSTITUTE(SUBSTITUTE(SUBSTITUTE(SUBSTITUTE('Aqui Planilha'!D43, ".", ""), "-",""), ";", ""), ":", "")</f>
        <v/>
      </c>
      <c r="E43" s="45" t="str">
        <f>SUBSTITUTE(SUBSTITUTE(UPPER(ACENTO('Aqui Planilha'!E43)),"'",""), ".", "")</f>
        <v/>
      </c>
      <c r="F43" s="45" t="str">
        <f>UPPER(ACENTO('Aqui Planilha'!F43))</f>
        <v/>
      </c>
      <c r="G43" s="45" t="str">
        <f>UPPER(ACENTO('Aqui Planilha'!G43))</f>
        <v/>
      </c>
      <c r="H43" s="44" t="str">
        <f>SUBSTITUTE(SUBSTITUTE(SUBSTITUTE(SUBSTITUTE(SUBSTITUTE(SUBSTITUTE(SUBSTITUTE('Aqui Planilha'!H43,"","0"),"Sn","0"),"SN","0"),"sn","0"),"sN","0"),"S/N","0")," ","")</f>
        <v/>
      </c>
      <c r="I43" s="45" t="str">
        <f>UPPER(ACENTO('Aqui Planilha'!I43))</f>
        <v/>
      </c>
      <c r="J43" s="45" t="str">
        <f>UPPER(ACENTO('Aqui Planilha'!J43))</f>
        <v/>
      </c>
      <c r="K43" s="45" t="str">
        <f>SUBSTITUTE(UPPER(ACENTO('Aqui Planilha'!K43)), " ", "")</f>
        <v/>
      </c>
      <c r="L43" s="49" t="e">
        <f>(REPT("0",11-LEN(FormulaOcult!L43))&amp;FormulaOcult!L43)</f>
        <v>#VALUE!</v>
      </c>
      <c r="M43" s="48" t="str">
        <f>SUBSTITUTE(SUBSTITUTE(SUBSTITUTE(SUBSTITUTE(SUBSTITUTE('Aqui Planilha'!M43, ".", ""), "-",""), ";", ""), ":", ""), " ", "")</f>
        <v/>
      </c>
      <c r="N43" s="47" t="e">
        <f>VALUE(SUBSTITUTE(SUBSTITUTE(SUBSTITUTE(SUBSTITUTE(SUBSTITUTE('Aqui Planilha'!N43, ".", "/"), "-","/"), ";", "/"), ":", "/"), "/", "/"))</f>
        <v>#VALUE!</v>
      </c>
      <c r="O43" s="45" t="str">
        <f>SUBSTITUTE(SUBSTITUTE(SUBSTITUTE(UPPER(ACENTO('Aqui Planilha'!O43)), "/MG", ""), "/SC", ""), "/RS", "")</f>
        <v/>
      </c>
      <c r="P43" s="45" t="str">
        <f>SUBSTITUTE(UPPER(ACENTO('Aqui Planilha'!P43)), " ", "")</f>
        <v/>
      </c>
      <c r="Q43" s="44" t="str">
        <f>SUBSTITUTE('Aqui Planilha'!Q43, " ", "")</f>
        <v/>
      </c>
      <c r="R43" s="45" t="str">
        <f>UPPER(ACENTO('Aqui Planilha'!R43))</f>
        <v/>
      </c>
      <c r="S43" s="50" t="str">
        <f>SUBSTITUTE(SUBSTITUTE(SUBSTITUTE(SUBSTITUTE('Aqui Planilha'!S43, ".", ""), "-",""), ";", ""), ":", "")</f>
        <v/>
      </c>
      <c r="T43" s="50" t="str">
        <f>SUBSTITUTE(SUBSTITUTE(SUBSTITUTE(SUBSTITUTE('Aqui Planilha'!T43, ".", ""), "-",""), ";", ""), ":", "")</f>
        <v/>
      </c>
      <c r="U43" s="62" t="str">
        <f>(REPT("0",4-LEN(SUBSTITUTE(SUBSTITUTE(SUBSTITUTE(SUBSTITUTE('Aqui Planilha'!U43,".",""),"-",""),";",""),":","")))) &amp; 'Aqui Planilha'!U43</f>
        <v>0000</v>
      </c>
      <c r="V43" s="50" t="str">
        <f>SUBSTITUTE(SUBSTITUTE(SUBSTITUTE(SUBSTITUTE('Aqui Planilha'!V43, ".", ""), "-",""), ";", ""), ":", "")</f>
        <v/>
      </c>
      <c r="W43" s="62" t="str">
        <f>(REPT("0",2-LEN(SUBSTITUTE(SUBSTITUTE(SUBSTITUTE(SUBSTITUTE('Aqui Planilha'!W43,".",""),"-",""),";",""),":","")))) &amp; 'Aqui Planilha'!W43</f>
        <v>00</v>
      </c>
    </row>
    <row r="44" spans="1:23">
      <c r="A44" s="40" t="str" cm="1">
        <f t="array" ref="A44">UPPER(ACENTO('Aqui Planilha'!A44))</f>
        <v/>
      </c>
      <c r="B44" s="47" t="e">
        <f>VALUE(SUBSTITUTE(SUBSTITUTE(SUBSTITUTE(SUBSTITUTE(SUBSTITUTE('Aqui Planilha'!B44, ".", "/"), "-","/"), ";", "/"), ":", "/"), "/", "/"))</f>
        <v>#VALUE!</v>
      </c>
      <c r="C44" s="45" t="str">
        <f>SUBSTITUTE(SUBSTITUTE(UPPER('Aqui Planilha'!C44),"MASCULINO","M"),"FEMININO","F")</f>
        <v/>
      </c>
      <c r="D44" s="48" t="str">
        <f>SUBSTITUTE(SUBSTITUTE(SUBSTITUTE(SUBSTITUTE('Aqui Planilha'!D44, ".", ""), "-",""), ";", ""), ":", "")</f>
        <v/>
      </c>
      <c r="E44" s="45" t="str">
        <f>SUBSTITUTE(SUBSTITUTE(UPPER(ACENTO('Aqui Planilha'!E44)),"'",""), ".", "")</f>
        <v/>
      </c>
      <c r="F44" s="45" t="str">
        <f>UPPER(ACENTO('Aqui Planilha'!F44))</f>
        <v/>
      </c>
      <c r="G44" s="45" t="str">
        <f>UPPER(ACENTO('Aqui Planilha'!G44))</f>
        <v/>
      </c>
      <c r="H44" s="44" t="str">
        <f>SUBSTITUTE(SUBSTITUTE(SUBSTITUTE(SUBSTITUTE(SUBSTITUTE(SUBSTITUTE(SUBSTITUTE('Aqui Planilha'!H44,"","0"),"Sn","0"),"SN","0"),"sn","0"),"sN","0"),"S/N","0")," ","")</f>
        <v/>
      </c>
      <c r="I44" s="45" t="str">
        <f>UPPER(ACENTO('Aqui Planilha'!I44))</f>
        <v/>
      </c>
      <c r="J44" s="45" t="str">
        <f>UPPER(ACENTO('Aqui Planilha'!J44))</f>
        <v/>
      </c>
      <c r="K44" s="45" t="str">
        <f>SUBSTITUTE(UPPER(ACENTO('Aqui Planilha'!K44)), " ", "")</f>
        <v/>
      </c>
      <c r="L44" s="49" t="e">
        <f>(REPT("0",11-LEN(FormulaOcult!L44))&amp;FormulaOcult!L44)</f>
        <v>#VALUE!</v>
      </c>
      <c r="M44" s="48" t="str">
        <f>SUBSTITUTE(SUBSTITUTE(SUBSTITUTE(SUBSTITUTE(SUBSTITUTE('Aqui Planilha'!M44, ".", ""), "-",""), ";", ""), ":", ""), " ", "")</f>
        <v/>
      </c>
      <c r="N44" s="47" t="e">
        <f>VALUE(SUBSTITUTE(SUBSTITUTE(SUBSTITUTE(SUBSTITUTE(SUBSTITUTE('Aqui Planilha'!N44, ".", "/"), "-","/"), ";", "/"), ":", "/"), "/", "/"))</f>
        <v>#VALUE!</v>
      </c>
      <c r="O44" s="45" t="str">
        <f>SUBSTITUTE(SUBSTITUTE(SUBSTITUTE(UPPER(ACENTO('Aqui Planilha'!O44)), "/MG", ""), "/SC", ""), "/RS", "")</f>
        <v/>
      </c>
      <c r="P44" s="45" t="str">
        <f>SUBSTITUTE(UPPER(ACENTO('Aqui Planilha'!P44)), " ", "")</f>
        <v/>
      </c>
      <c r="Q44" s="44" t="str">
        <f>SUBSTITUTE('Aqui Planilha'!Q44, " ", "")</f>
        <v/>
      </c>
      <c r="R44" s="45" t="str">
        <f>UPPER(ACENTO('Aqui Planilha'!R44))</f>
        <v/>
      </c>
      <c r="S44" s="50" t="str">
        <f>SUBSTITUTE(SUBSTITUTE(SUBSTITUTE(SUBSTITUTE('Aqui Planilha'!S44, ".", ""), "-",""), ";", ""), ":", "")</f>
        <v/>
      </c>
      <c r="T44" s="50" t="str">
        <f>SUBSTITUTE(SUBSTITUTE(SUBSTITUTE(SUBSTITUTE('Aqui Planilha'!T44, ".", ""), "-",""), ";", ""), ":", "")</f>
        <v/>
      </c>
      <c r="U44" s="62" t="str">
        <f>(REPT("0",4-LEN(SUBSTITUTE(SUBSTITUTE(SUBSTITUTE(SUBSTITUTE('Aqui Planilha'!U44,".",""),"-",""),";",""),":","")))) &amp; 'Aqui Planilha'!U44</f>
        <v>0000</v>
      </c>
      <c r="V44" s="50" t="str">
        <f>SUBSTITUTE(SUBSTITUTE(SUBSTITUTE(SUBSTITUTE('Aqui Planilha'!V44, ".", ""), "-",""), ";", ""), ":", "")</f>
        <v/>
      </c>
      <c r="W44" s="62" t="str">
        <f>(REPT("0",2-LEN(SUBSTITUTE(SUBSTITUTE(SUBSTITUTE(SUBSTITUTE('Aqui Planilha'!W44,".",""),"-",""),";",""),":","")))) &amp; 'Aqui Planilha'!W44</f>
        <v>00</v>
      </c>
    </row>
    <row r="45" spans="1:23">
      <c r="A45" s="40" t="str" cm="1">
        <f t="array" ref="A45">UPPER(ACENTO('Aqui Planilha'!A45))</f>
        <v/>
      </c>
      <c r="B45" s="47" t="e">
        <f>VALUE(SUBSTITUTE(SUBSTITUTE(SUBSTITUTE(SUBSTITUTE(SUBSTITUTE('Aqui Planilha'!B45, ".", "/"), "-","/"), ";", "/"), ":", "/"), "/", "/"))</f>
        <v>#VALUE!</v>
      </c>
      <c r="C45" s="45" t="str">
        <f>SUBSTITUTE(SUBSTITUTE(UPPER('Aqui Planilha'!C45),"MASCULINO","M"),"FEMININO","F")</f>
        <v/>
      </c>
      <c r="D45" s="48" t="str">
        <f>SUBSTITUTE(SUBSTITUTE(SUBSTITUTE(SUBSTITUTE('Aqui Planilha'!D45, ".", ""), "-",""), ";", ""), ":", "")</f>
        <v/>
      </c>
      <c r="E45" s="45" t="str">
        <f>SUBSTITUTE(SUBSTITUTE(UPPER(ACENTO('Aqui Planilha'!E45)),"'",""), ".", "")</f>
        <v/>
      </c>
      <c r="F45" s="45" t="str">
        <f>UPPER(ACENTO('Aqui Planilha'!F45))</f>
        <v/>
      </c>
      <c r="G45" s="45" t="str">
        <f>UPPER(ACENTO('Aqui Planilha'!G45))</f>
        <v/>
      </c>
      <c r="H45" s="44" t="str">
        <f>SUBSTITUTE(SUBSTITUTE(SUBSTITUTE(SUBSTITUTE(SUBSTITUTE(SUBSTITUTE(SUBSTITUTE('Aqui Planilha'!H45,"","0"),"Sn","0"),"SN","0"),"sn","0"),"sN","0"),"S/N","0")," ","")</f>
        <v/>
      </c>
      <c r="I45" s="45" t="str">
        <f>UPPER(ACENTO('Aqui Planilha'!I45))</f>
        <v/>
      </c>
      <c r="J45" s="45" t="str">
        <f>UPPER(ACENTO('Aqui Planilha'!J45))</f>
        <v/>
      </c>
      <c r="K45" s="45" t="str">
        <f>SUBSTITUTE(UPPER(ACENTO('Aqui Planilha'!K45)), " ", "")</f>
        <v/>
      </c>
      <c r="L45" s="49" t="e">
        <f>(REPT("0",11-LEN(FormulaOcult!L45))&amp;FormulaOcult!L45)</f>
        <v>#VALUE!</v>
      </c>
      <c r="M45" s="48" t="str">
        <f>SUBSTITUTE(SUBSTITUTE(SUBSTITUTE(SUBSTITUTE(SUBSTITUTE('Aqui Planilha'!M45, ".", ""), "-",""), ";", ""), ":", ""), " ", "")</f>
        <v/>
      </c>
      <c r="N45" s="47" t="e">
        <f>VALUE(SUBSTITUTE(SUBSTITUTE(SUBSTITUTE(SUBSTITUTE(SUBSTITUTE('Aqui Planilha'!N45, ".", "/"), "-","/"), ";", "/"), ":", "/"), "/", "/"))</f>
        <v>#VALUE!</v>
      </c>
      <c r="O45" s="45" t="str">
        <f>SUBSTITUTE(SUBSTITUTE(SUBSTITUTE(UPPER(ACENTO('Aqui Planilha'!O45)), "/MG", ""), "/SC", ""), "/RS", "")</f>
        <v/>
      </c>
      <c r="P45" s="45" t="str">
        <f>SUBSTITUTE(UPPER(ACENTO('Aqui Planilha'!P45)), " ", "")</f>
        <v/>
      </c>
      <c r="Q45" s="44" t="str">
        <f>SUBSTITUTE('Aqui Planilha'!Q45, " ", "")</f>
        <v/>
      </c>
      <c r="R45" s="45" t="str">
        <f>UPPER(ACENTO('Aqui Planilha'!R45))</f>
        <v/>
      </c>
      <c r="S45" s="50" t="str">
        <f>SUBSTITUTE(SUBSTITUTE(SUBSTITUTE(SUBSTITUTE('Aqui Planilha'!S45, ".", ""), "-",""), ";", ""), ":", "")</f>
        <v/>
      </c>
      <c r="T45" s="50" t="str">
        <f>SUBSTITUTE(SUBSTITUTE(SUBSTITUTE(SUBSTITUTE('Aqui Planilha'!T45, ".", ""), "-",""), ";", ""), ":", "")</f>
        <v/>
      </c>
      <c r="U45" s="62" t="str">
        <f>(REPT("0",4-LEN(SUBSTITUTE(SUBSTITUTE(SUBSTITUTE(SUBSTITUTE('Aqui Planilha'!U45,".",""),"-",""),";",""),":","")))) &amp; 'Aqui Planilha'!U45</f>
        <v>0000</v>
      </c>
      <c r="V45" s="50" t="str">
        <f>SUBSTITUTE(SUBSTITUTE(SUBSTITUTE(SUBSTITUTE('Aqui Planilha'!V45, ".", ""), "-",""), ";", ""), ":", "")</f>
        <v/>
      </c>
      <c r="W45" s="62" t="str">
        <f>(REPT("0",2-LEN(SUBSTITUTE(SUBSTITUTE(SUBSTITUTE(SUBSTITUTE('Aqui Planilha'!W45,".",""),"-",""),";",""),":","")))) &amp; 'Aqui Planilha'!W45</f>
        <v>00</v>
      </c>
    </row>
    <row r="46" spans="1:23">
      <c r="A46" s="40" t="str" cm="1">
        <f t="array" ref="A46">UPPER(ACENTO('Aqui Planilha'!A46))</f>
        <v/>
      </c>
      <c r="B46" s="47" t="e">
        <f>VALUE(SUBSTITUTE(SUBSTITUTE(SUBSTITUTE(SUBSTITUTE(SUBSTITUTE('Aqui Planilha'!B46, ".", "/"), "-","/"), ";", "/"), ":", "/"), "/", "/"))</f>
        <v>#VALUE!</v>
      </c>
      <c r="C46" s="45" t="str">
        <f>SUBSTITUTE(SUBSTITUTE(UPPER('Aqui Planilha'!C46),"MASCULINO","M"),"FEMININO","F")</f>
        <v/>
      </c>
      <c r="D46" s="48" t="str">
        <f>SUBSTITUTE(SUBSTITUTE(SUBSTITUTE(SUBSTITUTE('Aqui Planilha'!D46, ".", ""), "-",""), ";", ""), ":", "")</f>
        <v/>
      </c>
      <c r="E46" s="45" t="str">
        <f>SUBSTITUTE(SUBSTITUTE(UPPER(ACENTO('Aqui Planilha'!E46)),"'",""), ".", "")</f>
        <v/>
      </c>
      <c r="F46" s="45" t="str">
        <f>UPPER(ACENTO('Aqui Planilha'!F46))</f>
        <v/>
      </c>
      <c r="G46" s="45" t="str">
        <f>UPPER(ACENTO('Aqui Planilha'!G46))</f>
        <v/>
      </c>
      <c r="H46" s="44" t="str">
        <f>SUBSTITUTE(SUBSTITUTE(SUBSTITUTE(SUBSTITUTE(SUBSTITUTE(SUBSTITUTE(SUBSTITUTE('Aqui Planilha'!H46,"","0"),"Sn","0"),"SN","0"),"sn","0"),"sN","0"),"S/N","0")," ","")</f>
        <v/>
      </c>
      <c r="I46" s="45" t="str">
        <f>UPPER(ACENTO('Aqui Planilha'!I46))</f>
        <v/>
      </c>
      <c r="J46" s="45" t="str">
        <f>UPPER(ACENTO('Aqui Planilha'!J46))</f>
        <v/>
      </c>
      <c r="K46" s="45" t="str">
        <f>SUBSTITUTE(UPPER(ACENTO('Aqui Planilha'!K46)), " ", "")</f>
        <v/>
      </c>
      <c r="L46" s="49" t="e">
        <f>(REPT("0",11-LEN(FormulaOcult!L46))&amp;FormulaOcult!L46)</f>
        <v>#VALUE!</v>
      </c>
      <c r="M46" s="48" t="str">
        <f>SUBSTITUTE(SUBSTITUTE(SUBSTITUTE(SUBSTITUTE(SUBSTITUTE('Aqui Planilha'!M46, ".", ""), "-",""), ";", ""), ":", ""), " ", "")</f>
        <v/>
      </c>
      <c r="N46" s="47" t="e">
        <f>VALUE(SUBSTITUTE(SUBSTITUTE(SUBSTITUTE(SUBSTITUTE(SUBSTITUTE('Aqui Planilha'!N46, ".", "/"), "-","/"), ";", "/"), ":", "/"), "/", "/"))</f>
        <v>#VALUE!</v>
      </c>
      <c r="O46" s="45" t="str">
        <f>SUBSTITUTE(SUBSTITUTE(SUBSTITUTE(UPPER(ACENTO('Aqui Planilha'!O46)), "/MG", ""), "/SC", ""), "/RS", "")</f>
        <v/>
      </c>
      <c r="P46" s="45" t="str">
        <f>SUBSTITUTE(UPPER(ACENTO('Aqui Planilha'!P46)), " ", "")</f>
        <v/>
      </c>
      <c r="Q46" s="44" t="str">
        <f>SUBSTITUTE('Aqui Planilha'!Q46, " ", "")</f>
        <v/>
      </c>
      <c r="R46" s="45" t="str">
        <f>UPPER(ACENTO('Aqui Planilha'!R46))</f>
        <v/>
      </c>
      <c r="S46" s="50" t="str">
        <f>SUBSTITUTE(SUBSTITUTE(SUBSTITUTE(SUBSTITUTE('Aqui Planilha'!S46, ".", ""), "-",""), ";", ""), ":", "")</f>
        <v/>
      </c>
      <c r="T46" s="50" t="str">
        <f>SUBSTITUTE(SUBSTITUTE(SUBSTITUTE(SUBSTITUTE('Aqui Planilha'!T46, ".", ""), "-",""), ";", ""), ":", "")</f>
        <v/>
      </c>
      <c r="U46" s="62" t="str">
        <f>(REPT("0",4-LEN(SUBSTITUTE(SUBSTITUTE(SUBSTITUTE(SUBSTITUTE('Aqui Planilha'!U46,".",""),"-",""),";",""),":","")))) &amp; 'Aqui Planilha'!U46</f>
        <v>0000</v>
      </c>
      <c r="V46" s="50" t="str">
        <f>SUBSTITUTE(SUBSTITUTE(SUBSTITUTE(SUBSTITUTE('Aqui Planilha'!V46, ".", ""), "-",""), ";", ""), ":", "")</f>
        <v/>
      </c>
      <c r="W46" s="62" t="str">
        <f>(REPT("0",2-LEN(SUBSTITUTE(SUBSTITUTE(SUBSTITUTE(SUBSTITUTE('Aqui Planilha'!W46,".",""),"-",""),";",""),":","")))) &amp; 'Aqui Planilha'!W46</f>
        <v>00</v>
      </c>
    </row>
    <row r="47" spans="1:23">
      <c r="A47" s="40" t="str" cm="1">
        <f t="array" ref="A47">UPPER(ACENTO('Aqui Planilha'!A47))</f>
        <v/>
      </c>
      <c r="B47" s="47" t="e">
        <f>VALUE(SUBSTITUTE(SUBSTITUTE(SUBSTITUTE(SUBSTITUTE(SUBSTITUTE('Aqui Planilha'!B47, ".", "/"), "-","/"), ";", "/"), ":", "/"), "/", "/"))</f>
        <v>#VALUE!</v>
      </c>
      <c r="C47" s="45" t="str">
        <f>SUBSTITUTE(SUBSTITUTE(UPPER('Aqui Planilha'!C47),"MASCULINO","M"),"FEMININO","F")</f>
        <v/>
      </c>
      <c r="D47" s="48" t="str">
        <f>SUBSTITUTE(SUBSTITUTE(SUBSTITUTE(SUBSTITUTE('Aqui Planilha'!D47, ".", ""), "-",""), ";", ""), ":", "")</f>
        <v/>
      </c>
      <c r="E47" s="45" t="str">
        <f>SUBSTITUTE(SUBSTITUTE(UPPER(ACENTO('Aqui Planilha'!E47)),"'",""), ".", "")</f>
        <v/>
      </c>
      <c r="F47" s="45" t="str">
        <f>UPPER(ACENTO('Aqui Planilha'!F47))</f>
        <v/>
      </c>
      <c r="G47" s="45" t="str">
        <f>UPPER(ACENTO('Aqui Planilha'!G47))</f>
        <v/>
      </c>
      <c r="H47" s="44" t="str">
        <f>SUBSTITUTE(SUBSTITUTE(SUBSTITUTE(SUBSTITUTE(SUBSTITUTE(SUBSTITUTE(SUBSTITUTE('Aqui Planilha'!H47,"","0"),"Sn","0"),"SN","0"),"sn","0"),"sN","0"),"S/N","0")," ","")</f>
        <v/>
      </c>
      <c r="I47" s="45" t="str">
        <f>UPPER(ACENTO('Aqui Planilha'!I47))</f>
        <v/>
      </c>
      <c r="J47" s="45" t="str">
        <f>UPPER(ACENTO('Aqui Planilha'!J47))</f>
        <v/>
      </c>
      <c r="K47" s="45" t="str">
        <f>SUBSTITUTE(UPPER(ACENTO('Aqui Planilha'!K47)), " ", "")</f>
        <v/>
      </c>
      <c r="L47" s="49" t="e">
        <f>(REPT("0",11-LEN(FormulaOcult!L47))&amp;FormulaOcult!L47)</f>
        <v>#VALUE!</v>
      </c>
      <c r="M47" s="48" t="str">
        <f>SUBSTITUTE(SUBSTITUTE(SUBSTITUTE(SUBSTITUTE(SUBSTITUTE('Aqui Planilha'!M47, ".", ""), "-",""), ";", ""), ":", ""), " ", "")</f>
        <v/>
      </c>
      <c r="N47" s="47" t="e">
        <f>VALUE(SUBSTITUTE(SUBSTITUTE(SUBSTITUTE(SUBSTITUTE(SUBSTITUTE('Aqui Planilha'!N47, ".", "/"), "-","/"), ";", "/"), ":", "/"), "/", "/"))</f>
        <v>#VALUE!</v>
      </c>
      <c r="O47" s="45" t="str">
        <f>SUBSTITUTE(SUBSTITUTE(SUBSTITUTE(UPPER(ACENTO('Aqui Planilha'!O47)), "/MG", ""), "/SC", ""), "/RS", "")</f>
        <v/>
      </c>
      <c r="P47" s="45" t="str">
        <f>SUBSTITUTE(UPPER(ACENTO('Aqui Planilha'!P47)), " ", "")</f>
        <v/>
      </c>
      <c r="Q47" s="44" t="str">
        <f>SUBSTITUTE('Aqui Planilha'!Q47, " ", "")</f>
        <v/>
      </c>
      <c r="R47" s="45" t="str">
        <f>UPPER(ACENTO('Aqui Planilha'!R47))</f>
        <v/>
      </c>
      <c r="S47" s="50" t="str">
        <f>SUBSTITUTE(SUBSTITUTE(SUBSTITUTE(SUBSTITUTE('Aqui Planilha'!S47, ".", ""), "-",""), ";", ""), ":", "")</f>
        <v/>
      </c>
      <c r="T47" s="50" t="str">
        <f>SUBSTITUTE(SUBSTITUTE(SUBSTITUTE(SUBSTITUTE('Aqui Planilha'!T47, ".", ""), "-",""), ";", ""), ":", "")</f>
        <v/>
      </c>
      <c r="U47" s="62" t="str">
        <f>(REPT("0",4-LEN(SUBSTITUTE(SUBSTITUTE(SUBSTITUTE(SUBSTITUTE('Aqui Planilha'!U47,".",""),"-",""),";",""),":","")))) &amp; 'Aqui Planilha'!U47</f>
        <v>0000</v>
      </c>
      <c r="V47" s="50" t="str">
        <f>SUBSTITUTE(SUBSTITUTE(SUBSTITUTE(SUBSTITUTE('Aqui Planilha'!V47, ".", ""), "-",""), ";", ""), ":", "")</f>
        <v/>
      </c>
      <c r="W47" s="62" t="str">
        <f>(REPT("0",2-LEN(SUBSTITUTE(SUBSTITUTE(SUBSTITUTE(SUBSTITUTE('Aqui Planilha'!W47,".",""),"-",""),";",""),":","")))) &amp; 'Aqui Planilha'!W47</f>
        <v>00</v>
      </c>
    </row>
    <row r="48" spans="1:23">
      <c r="A48" s="40" t="str" cm="1">
        <f t="array" ref="A48">UPPER(ACENTO('Aqui Planilha'!A48))</f>
        <v/>
      </c>
      <c r="B48" s="47" t="e">
        <f>VALUE(SUBSTITUTE(SUBSTITUTE(SUBSTITUTE(SUBSTITUTE(SUBSTITUTE('Aqui Planilha'!B48, ".", "/"), "-","/"), ";", "/"), ":", "/"), "/", "/"))</f>
        <v>#VALUE!</v>
      </c>
      <c r="C48" s="45" t="str">
        <f>SUBSTITUTE(SUBSTITUTE(UPPER('Aqui Planilha'!C48),"MASCULINO","M"),"FEMININO","F")</f>
        <v/>
      </c>
      <c r="D48" s="48" t="str">
        <f>SUBSTITUTE(SUBSTITUTE(SUBSTITUTE(SUBSTITUTE('Aqui Planilha'!D48, ".", ""), "-",""), ";", ""), ":", "")</f>
        <v/>
      </c>
      <c r="E48" s="45" t="str">
        <f>SUBSTITUTE(SUBSTITUTE(UPPER(ACENTO('Aqui Planilha'!E48)),"'",""), ".", "")</f>
        <v/>
      </c>
      <c r="F48" s="45" t="str">
        <f>UPPER(ACENTO('Aqui Planilha'!F48))</f>
        <v/>
      </c>
      <c r="G48" s="45" t="str">
        <f>UPPER(ACENTO('Aqui Planilha'!G48))</f>
        <v/>
      </c>
      <c r="H48" s="44" t="str">
        <f>SUBSTITUTE(SUBSTITUTE(SUBSTITUTE(SUBSTITUTE(SUBSTITUTE(SUBSTITUTE(SUBSTITUTE('Aqui Planilha'!H48,"","0"),"Sn","0"),"SN","0"),"sn","0"),"sN","0"),"S/N","0")," ","")</f>
        <v/>
      </c>
      <c r="I48" s="45" t="str">
        <f>UPPER(ACENTO('Aqui Planilha'!I48))</f>
        <v/>
      </c>
      <c r="J48" s="45" t="str">
        <f>UPPER(ACENTO('Aqui Planilha'!J48))</f>
        <v/>
      </c>
      <c r="K48" s="45" t="str">
        <f>SUBSTITUTE(UPPER(ACENTO('Aqui Planilha'!K48)), " ", "")</f>
        <v/>
      </c>
      <c r="L48" s="49" t="e">
        <f>(REPT("0",11-LEN(FormulaOcult!L48))&amp;FormulaOcult!L48)</f>
        <v>#VALUE!</v>
      </c>
      <c r="M48" s="48" t="str">
        <f>SUBSTITUTE(SUBSTITUTE(SUBSTITUTE(SUBSTITUTE(SUBSTITUTE('Aqui Planilha'!M48, ".", ""), "-",""), ";", ""), ":", ""), " ", "")</f>
        <v/>
      </c>
      <c r="N48" s="47" t="e">
        <f>VALUE(SUBSTITUTE(SUBSTITUTE(SUBSTITUTE(SUBSTITUTE(SUBSTITUTE('Aqui Planilha'!N48, ".", "/"), "-","/"), ";", "/"), ":", "/"), "/", "/"))</f>
        <v>#VALUE!</v>
      </c>
      <c r="O48" s="45" t="str">
        <f>SUBSTITUTE(SUBSTITUTE(SUBSTITUTE(UPPER(ACENTO('Aqui Planilha'!O48)), "/MG", ""), "/SC", ""), "/RS", "")</f>
        <v/>
      </c>
      <c r="P48" s="45" t="str">
        <f>SUBSTITUTE(UPPER(ACENTO('Aqui Planilha'!P48)), " ", "")</f>
        <v/>
      </c>
      <c r="Q48" s="44" t="str">
        <f>SUBSTITUTE('Aqui Planilha'!Q48, " ", "")</f>
        <v/>
      </c>
      <c r="R48" s="45" t="str">
        <f>UPPER(ACENTO('Aqui Planilha'!R48))</f>
        <v/>
      </c>
      <c r="S48" s="50" t="str">
        <f>SUBSTITUTE(SUBSTITUTE(SUBSTITUTE(SUBSTITUTE('Aqui Planilha'!S48, ".", ""), "-",""), ";", ""), ":", "")</f>
        <v/>
      </c>
      <c r="T48" s="50" t="str">
        <f>SUBSTITUTE(SUBSTITUTE(SUBSTITUTE(SUBSTITUTE('Aqui Planilha'!T48, ".", ""), "-",""), ";", ""), ":", "")</f>
        <v/>
      </c>
      <c r="U48" s="62" t="str">
        <f>(REPT("0",4-LEN(SUBSTITUTE(SUBSTITUTE(SUBSTITUTE(SUBSTITUTE('Aqui Planilha'!U48,".",""),"-",""),";",""),":","")))) &amp; 'Aqui Planilha'!U48</f>
        <v>0000</v>
      </c>
      <c r="V48" s="50" t="str">
        <f>SUBSTITUTE(SUBSTITUTE(SUBSTITUTE(SUBSTITUTE('Aqui Planilha'!V48, ".", ""), "-",""), ";", ""), ":", "")</f>
        <v/>
      </c>
      <c r="W48" s="62" t="str">
        <f>(REPT("0",2-LEN(SUBSTITUTE(SUBSTITUTE(SUBSTITUTE(SUBSTITUTE('Aqui Planilha'!W48,".",""),"-",""),";",""),":","")))) &amp; 'Aqui Planilha'!W48</f>
        <v>00</v>
      </c>
    </row>
    <row r="49" spans="1:23">
      <c r="A49" s="40" t="str" cm="1">
        <f t="array" ref="A49">UPPER(ACENTO('Aqui Planilha'!A49))</f>
        <v/>
      </c>
      <c r="B49" s="47" t="e">
        <f>VALUE(SUBSTITUTE(SUBSTITUTE(SUBSTITUTE(SUBSTITUTE(SUBSTITUTE('Aqui Planilha'!B49, ".", "/"), "-","/"), ";", "/"), ":", "/"), "/", "/"))</f>
        <v>#VALUE!</v>
      </c>
      <c r="C49" s="45" t="str">
        <f>SUBSTITUTE(SUBSTITUTE(UPPER('Aqui Planilha'!C49),"MASCULINO","M"),"FEMININO","F")</f>
        <v/>
      </c>
      <c r="D49" s="48" t="str">
        <f>SUBSTITUTE(SUBSTITUTE(SUBSTITUTE(SUBSTITUTE('Aqui Planilha'!D49, ".", ""), "-",""), ";", ""), ":", "")</f>
        <v/>
      </c>
      <c r="E49" s="45" t="str">
        <f>SUBSTITUTE(SUBSTITUTE(UPPER(ACENTO('Aqui Planilha'!E49)),"'",""), ".", "")</f>
        <v/>
      </c>
      <c r="F49" s="45" t="str">
        <f>UPPER(ACENTO('Aqui Planilha'!F49))</f>
        <v/>
      </c>
      <c r="G49" s="45" t="str">
        <f>UPPER(ACENTO('Aqui Planilha'!G49))</f>
        <v/>
      </c>
      <c r="H49" s="44" t="str">
        <f>SUBSTITUTE(SUBSTITUTE(SUBSTITUTE(SUBSTITUTE(SUBSTITUTE(SUBSTITUTE(SUBSTITUTE('Aqui Planilha'!H49,"","0"),"Sn","0"),"SN","0"),"sn","0"),"sN","0"),"S/N","0")," ","")</f>
        <v/>
      </c>
      <c r="I49" s="45" t="str">
        <f>UPPER(ACENTO('Aqui Planilha'!I49))</f>
        <v/>
      </c>
      <c r="J49" s="45" t="str">
        <f>UPPER(ACENTO('Aqui Planilha'!J49))</f>
        <v/>
      </c>
      <c r="K49" s="45" t="str">
        <f>SUBSTITUTE(UPPER(ACENTO('Aqui Planilha'!K49)), " ", "")</f>
        <v/>
      </c>
      <c r="L49" s="49" t="e">
        <f>(REPT("0",11-LEN(FormulaOcult!L49))&amp;FormulaOcult!L49)</f>
        <v>#VALUE!</v>
      </c>
      <c r="M49" s="48" t="str">
        <f>SUBSTITUTE(SUBSTITUTE(SUBSTITUTE(SUBSTITUTE(SUBSTITUTE('Aqui Planilha'!M49, ".", ""), "-",""), ";", ""), ":", ""), " ", "")</f>
        <v/>
      </c>
      <c r="N49" s="47" t="e">
        <f>VALUE(SUBSTITUTE(SUBSTITUTE(SUBSTITUTE(SUBSTITUTE(SUBSTITUTE('Aqui Planilha'!N49, ".", "/"), "-","/"), ";", "/"), ":", "/"), "/", "/"))</f>
        <v>#VALUE!</v>
      </c>
      <c r="O49" s="45" t="str">
        <f>SUBSTITUTE(SUBSTITUTE(SUBSTITUTE(UPPER(ACENTO('Aqui Planilha'!O49)), "/MG", ""), "/SC", ""), "/RS", "")</f>
        <v/>
      </c>
      <c r="P49" s="45" t="str">
        <f>SUBSTITUTE(UPPER(ACENTO('Aqui Planilha'!P49)), " ", "")</f>
        <v/>
      </c>
      <c r="Q49" s="44" t="str">
        <f>SUBSTITUTE('Aqui Planilha'!Q49, " ", "")</f>
        <v/>
      </c>
      <c r="R49" s="45" t="str">
        <f>UPPER(ACENTO('Aqui Planilha'!R49))</f>
        <v/>
      </c>
      <c r="S49" s="50" t="str">
        <f>SUBSTITUTE(SUBSTITUTE(SUBSTITUTE(SUBSTITUTE('Aqui Planilha'!S49, ".", ""), "-",""), ";", ""), ":", "")</f>
        <v/>
      </c>
      <c r="T49" s="50" t="str">
        <f>SUBSTITUTE(SUBSTITUTE(SUBSTITUTE(SUBSTITUTE('Aqui Planilha'!T49, ".", ""), "-",""), ";", ""), ":", "")</f>
        <v/>
      </c>
      <c r="U49" s="62" t="str">
        <f>(REPT("0",4-LEN(SUBSTITUTE(SUBSTITUTE(SUBSTITUTE(SUBSTITUTE('Aqui Planilha'!U49,".",""),"-",""),";",""),":","")))) &amp; 'Aqui Planilha'!U49</f>
        <v>0000</v>
      </c>
      <c r="V49" s="50" t="str">
        <f>SUBSTITUTE(SUBSTITUTE(SUBSTITUTE(SUBSTITUTE('Aqui Planilha'!V49, ".", ""), "-",""), ";", ""), ":", "")</f>
        <v/>
      </c>
      <c r="W49" s="62" t="str">
        <f>(REPT("0",2-LEN(SUBSTITUTE(SUBSTITUTE(SUBSTITUTE(SUBSTITUTE('Aqui Planilha'!W49,".",""),"-",""),";",""),":","")))) &amp; 'Aqui Planilha'!W49</f>
        <v>00</v>
      </c>
    </row>
    <row r="50" spans="1:23" s="51" customFormat="1">
      <c r="A50" s="55" t="str" cm="1">
        <f t="array" ref="A50">UPPER(ACENTO('Aqui Planilha'!A50))</f>
        <v/>
      </c>
      <c r="B50" s="56" t="e">
        <f>VALUE(SUBSTITUTE(SUBSTITUTE(SUBSTITUTE(SUBSTITUTE(SUBSTITUTE('Aqui Planilha'!B50, ".", "/"), "-","/"), ";", "/"), ":", "/"), "/", "/"))</f>
        <v>#VALUE!</v>
      </c>
      <c r="C50" s="51" t="str">
        <f>SUBSTITUTE(SUBSTITUTE(UPPER('Aqui Planilha'!C50),"MASCULINO","M"),"FEMININO","F")</f>
        <v/>
      </c>
      <c r="D50" s="57" t="str">
        <f>SUBSTITUTE(SUBSTITUTE(SUBSTITUTE(SUBSTITUTE('Aqui Planilha'!D50, ".", ""), "-",""), ";", ""), ":", "")</f>
        <v/>
      </c>
      <c r="E50" s="51" t="str">
        <f>SUBSTITUTE(SUBSTITUTE(UPPER(ACENTO('Aqui Planilha'!E50)),"'",""), ".", "")</f>
        <v/>
      </c>
      <c r="F50" s="51" t="str">
        <f>UPPER(ACENTO('Aqui Planilha'!F50))</f>
        <v/>
      </c>
      <c r="G50" s="51" t="str">
        <f>UPPER(ACENTO('Aqui Planilha'!G50))</f>
        <v/>
      </c>
      <c r="H50" s="58" t="str">
        <f>SUBSTITUTE(SUBSTITUTE(SUBSTITUTE(SUBSTITUTE(SUBSTITUTE(SUBSTITUTE(SUBSTITUTE('Aqui Planilha'!H50,"","0"),"Sn","0"),"SN","0"),"sn","0"),"sN","0"),"S/N","0")," ","")</f>
        <v/>
      </c>
      <c r="I50" s="51" t="str">
        <f>UPPER(ACENTO('Aqui Planilha'!I50))</f>
        <v/>
      </c>
      <c r="J50" s="51" t="str">
        <f>UPPER(ACENTO('Aqui Planilha'!J50))</f>
        <v/>
      </c>
      <c r="K50" s="51" t="str">
        <f>SUBSTITUTE(UPPER(ACENTO('Aqui Planilha'!K50)), " ", "")</f>
        <v/>
      </c>
      <c r="L50" s="59" t="e">
        <f>(REPT("0",11-LEN(FormulaOcult!L50))&amp;FormulaOcult!L50)</f>
        <v>#VALUE!</v>
      </c>
      <c r="M50" s="57" t="str">
        <f>SUBSTITUTE(SUBSTITUTE(SUBSTITUTE(SUBSTITUTE(SUBSTITUTE('Aqui Planilha'!M50, ".", ""), "-",""), ";", ""), ":", ""), " ", "")</f>
        <v/>
      </c>
      <c r="N50" s="56" t="e">
        <f>VALUE(SUBSTITUTE(SUBSTITUTE(SUBSTITUTE(SUBSTITUTE(SUBSTITUTE('Aqui Planilha'!N50, ".", "/"), "-","/"), ";", "/"), ":", "/"), "/", "/"))</f>
        <v>#VALUE!</v>
      </c>
      <c r="O50" s="51" t="str">
        <f>SUBSTITUTE(SUBSTITUTE(SUBSTITUTE(UPPER(ACENTO('Aqui Planilha'!O50)), "/MG", ""), "/SC", ""), "/RS", "")</f>
        <v/>
      </c>
      <c r="P50" s="51" t="str">
        <f>SUBSTITUTE(UPPER(ACENTO('Aqui Planilha'!P50)), " ", "")</f>
        <v/>
      </c>
      <c r="Q50" s="58" t="str">
        <f>SUBSTITUTE('Aqui Planilha'!Q50, " ", "")</f>
        <v/>
      </c>
      <c r="R50" s="51" t="str">
        <f>UPPER(ACENTO('Aqui Planilha'!R50))</f>
        <v/>
      </c>
      <c r="S50" s="60" t="str">
        <f>SUBSTITUTE(SUBSTITUTE(SUBSTITUTE(SUBSTITUTE('Aqui Planilha'!S50, ".", ""), "-",""), ";", ""), ":", "")</f>
        <v/>
      </c>
      <c r="T50" s="60" t="str">
        <f>SUBSTITUTE(SUBSTITUTE(SUBSTITUTE(SUBSTITUTE('Aqui Planilha'!T50, ".", ""), "-",""), ";", ""), ":", "")</f>
        <v/>
      </c>
      <c r="U50" s="64" t="str">
        <f>(REPT("0",4-LEN(SUBSTITUTE(SUBSTITUTE(SUBSTITUTE(SUBSTITUTE('Aqui Planilha'!U50,".",""),"-",""),";",""),":","")))) &amp; 'Aqui Planilha'!U50</f>
        <v>0000</v>
      </c>
      <c r="V50" s="60" t="str">
        <f>SUBSTITUTE(SUBSTITUTE(SUBSTITUTE(SUBSTITUTE('Aqui Planilha'!V50, ".", ""), "-",""), ";", ""), ":", "")</f>
        <v/>
      </c>
      <c r="W50" s="64" t="str">
        <f>(REPT("0",2-LEN(SUBSTITUTE(SUBSTITUTE(SUBSTITUTE(SUBSTITUTE('Aqui Planilha'!W50,".",""),"-",""),";",""),":","")))) &amp; 'Aqui Planilha'!W50</f>
        <v>00</v>
      </c>
    </row>
  </sheetData>
  <sheetProtection algorithmName="SHA-512" hashValue="INXklnfQ0hlETEfy5m/I/wqAyD0sPOMXtEi8zZMiBzPII+zDGKCf5fDtY8wNmWGWLNlLCJNBRM36zWJ5SsRlDQ==" saltValue="o+xarR4Z2hD40KxiZREnmw==" spinCount="100000" sheet="1" objects="1" scenarios="1"/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&amp;C&amp;1#&amp;"Calibri"&amp;10&amp;K000000Classificação da informação: Uso Interno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B1:D35"/>
  <sheetViews>
    <sheetView zoomScaleNormal="100" workbookViewId="0">
      <selection activeCell="F6" sqref="F6"/>
    </sheetView>
  </sheetViews>
  <sheetFormatPr defaultRowHeight="18.75"/>
  <cols>
    <col min="1" max="1" width="4.375" customWidth="1"/>
    <col min="2" max="2" width="12.125" style="1" customWidth="1"/>
    <col min="3" max="3" width="9" style="1" customWidth="1"/>
    <col min="4" max="4" width="54" style="1" customWidth="1"/>
    <col min="7" max="7" width="11.25" customWidth="1"/>
  </cols>
  <sheetData>
    <row r="1" spans="2:4" ht="66" customHeight="1">
      <c r="B1" s="88"/>
      <c r="C1" s="88"/>
      <c r="D1" s="88"/>
    </row>
    <row r="2" spans="2:4" ht="27" customHeight="1" thickBot="1">
      <c r="B2" s="93" t="s">
        <v>26</v>
      </c>
      <c r="C2" s="93"/>
      <c r="D2" s="93"/>
    </row>
    <row r="3" spans="2:4" ht="16.5" customHeight="1" thickBot="1">
      <c r="B3" s="32" t="s">
        <v>31</v>
      </c>
      <c r="C3" s="31" t="str">
        <f>NvSalarioMacro!A2</f>
        <v>43BL</v>
      </c>
      <c r="D3" s="27">
        <f ca="1">TODAY()</f>
        <v>44959</v>
      </c>
    </row>
    <row r="4" spans="2:4" ht="16.5" customHeight="1" thickBot="1">
      <c r="B4" s="89" t="s">
        <v>76</v>
      </c>
      <c r="C4" s="90"/>
      <c r="D4" s="27"/>
    </row>
    <row r="5" spans="2:4" ht="16.5" customHeight="1" thickBot="1">
      <c r="B5" s="89" t="s">
        <v>77</v>
      </c>
      <c r="C5" s="90"/>
      <c r="D5" s="27"/>
    </row>
    <row r="6" spans="2:4" ht="19.5" thickBot="1">
      <c r="B6" s="82" t="s">
        <v>27</v>
      </c>
      <c r="C6" s="83"/>
      <c r="D6" s="33" t="s">
        <v>28</v>
      </c>
    </row>
    <row r="7" spans="2:4">
      <c r="B7" s="84" t="s">
        <v>68</v>
      </c>
      <c r="C7" s="85"/>
      <c r="D7" s="29" t="s">
        <v>67</v>
      </c>
    </row>
    <row r="8" spans="2:4">
      <c r="B8" s="86" t="s">
        <v>69</v>
      </c>
      <c r="C8" s="87"/>
      <c r="D8" s="28" t="s">
        <v>54</v>
      </c>
    </row>
    <row r="9" spans="2:4">
      <c r="B9" s="84"/>
      <c r="C9" s="85"/>
      <c r="D9" s="29"/>
    </row>
    <row r="10" spans="2:4">
      <c r="B10" s="86"/>
      <c r="C10" s="87"/>
      <c r="D10" s="28"/>
    </row>
    <row r="11" spans="2:4">
      <c r="B11" s="84"/>
      <c r="C11" s="85"/>
      <c r="D11" s="29"/>
    </row>
    <row r="12" spans="2:4">
      <c r="B12" s="86"/>
      <c r="C12" s="87"/>
      <c r="D12" s="28"/>
    </row>
    <row r="13" spans="2:4">
      <c r="B13" s="84"/>
      <c r="C13" s="85"/>
      <c r="D13" s="29"/>
    </row>
    <row r="14" spans="2:4">
      <c r="B14" s="86"/>
      <c r="C14" s="87"/>
      <c r="D14" s="28"/>
    </row>
    <row r="15" spans="2:4">
      <c r="B15" s="84"/>
      <c r="C15" s="85"/>
      <c r="D15" s="29"/>
    </row>
    <row r="16" spans="2:4">
      <c r="B16" s="86"/>
      <c r="C16" s="87"/>
      <c r="D16" s="28"/>
    </row>
    <row r="17" spans="2:4">
      <c r="B17" s="84"/>
      <c r="C17" s="85"/>
      <c r="D17" s="29"/>
    </row>
    <row r="18" spans="2:4">
      <c r="B18" s="86"/>
      <c r="C18" s="87"/>
      <c r="D18" s="28"/>
    </row>
    <row r="19" spans="2:4">
      <c r="B19" s="84"/>
      <c r="C19" s="85"/>
      <c r="D19" s="29"/>
    </row>
    <row r="20" spans="2:4">
      <c r="B20" s="86"/>
      <c r="C20" s="87"/>
      <c r="D20" s="28"/>
    </row>
    <row r="21" spans="2:4">
      <c r="B21" s="84"/>
      <c r="C21" s="85"/>
      <c r="D21" s="29"/>
    </row>
    <row r="22" spans="2:4">
      <c r="B22" s="86"/>
      <c r="C22" s="87"/>
      <c r="D22" s="28"/>
    </row>
    <row r="23" spans="2:4">
      <c r="B23" s="84"/>
      <c r="C23" s="85"/>
      <c r="D23" s="29"/>
    </row>
    <row r="24" spans="2:4">
      <c r="B24" s="86"/>
      <c r="C24" s="87"/>
      <c r="D24" s="28"/>
    </row>
    <row r="25" spans="2:4">
      <c r="B25" s="84"/>
      <c r="C25" s="85"/>
      <c r="D25" s="29"/>
    </row>
    <row r="26" spans="2:4">
      <c r="B26" s="86"/>
      <c r="C26" s="87"/>
      <c r="D26" s="28"/>
    </row>
    <row r="27" spans="2:4">
      <c r="B27" s="84"/>
      <c r="C27" s="85"/>
      <c r="D27" s="29"/>
    </row>
    <row r="28" spans="2:4">
      <c r="B28" s="86"/>
      <c r="C28" s="87"/>
      <c r="D28" s="28"/>
    </row>
    <row r="29" spans="2:4">
      <c r="B29" s="84"/>
      <c r="C29" s="85"/>
      <c r="D29" s="29"/>
    </row>
    <row r="30" spans="2:4">
      <c r="B30" s="86"/>
      <c r="C30" s="87"/>
      <c r="D30" s="28"/>
    </row>
    <row r="31" spans="2:4">
      <c r="B31" s="84"/>
      <c r="C31" s="85"/>
      <c r="D31" s="29"/>
    </row>
    <row r="32" spans="2:4">
      <c r="B32" s="86"/>
      <c r="C32" s="87"/>
      <c r="D32" s="28"/>
    </row>
    <row r="33" spans="2:4">
      <c r="B33" s="84"/>
      <c r="C33" s="85"/>
      <c r="D33" s="29"/>
    </row>
    <row r="34" spans="2:4">
      <c r="B34" s="86"/>
      <c r="C34" s="87"/>
      <c r="D34" s="28"/>
    </row>
    <row r="35" spans="2:4" ht="19.5" thickBot="1">
      <c r="B35" s="91"/>
      <c r="C35" s="92"/>
      <c r="D35" s="30"/>
    </row>
  </sheetData>
  <mergeCells count="34">
    <mergeCell ref="B34:C34"/>
    <mergeCell ref="B35:C35"/>
    <mergeCell ref="B2:D2"/>
    <mergeCell ref="B29:C29"/>
    <mergeCell ref="B30:C30"/>
    <mergeCell ref="B31:C31"/>
    <mergeCell ref="B32:C32"/>
    <mergeCell ref="B33:C33"/>
    <mergeCell ref="B24:C24"/>
    <mergeCell ref="B25:C25"/>
    <mergeCell ref="B26:C26"/>
    <mergeCell ref="B27:C27"/>
    <mergeCell ref="B28:C28"/>
    <mergeCell ref="B19:C19"/>
    <mergeCell ref="B20:C20"/>
    <mergeCell ref="B21:C21"/>
    <mergeCell ref="B23:C23"/>
    <mergeCell ref="B14:C14"/>
    <mergeCell ref="B15:C15"/>
    <mergeCell ref="B16:C16"/>
    <mergeCell ref="B17:C17"/>
    <mergeCell ref="B18:C18"/>
    <mergeCell ref="B10:C10"/>
    <mergeCell ref="B11:C11"/>
    <mergeCell ref="B12:C12"/>
    <mergeCell ref="B13:C13"/>
    <mergeCell ref="B22:C22"/>
    <mergeCell ref="B6:C6"/>
    <mergeCell ref="B7:C7"/>
    <mergeCell ref="B8:C8"/>
    <mergeCell ref="B9:C9"/>
    <mergeCell ref="B1:D1"/>
    <mergeCell ref="B4:C4"/>
    <mergeCell ref="B5:C5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&amp;C&amp;1#&amp;"Calibri"&amp;10&amp;K000000Classificação da informação: Uso Interno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C0451-6351-4169-9040-686B6A8453FD}">
  <dimension ref="B2:C24"/>
  <sheetViews>
    <sheetView tabSelected="1" topLeftCell="A5" workbookViewId="0">
      <selection activeCell="C13" sqref="C13"/>
    </sheetView>
  </sheetViews>
  <sheetFormatPr defaultRowHeight="15.75"/>
  <cols>
    <col min="1" max="1" width="5.25" style="74" customWidth="1"/>
    <col min="2" max="2" width="55.375" style="74" customWidth="1"/>
    <col min="3" max="3" width="11.125" style="73" customWidth="1"/>
    <col min="4" max="11" width="9" style="74"/>
    <col min="12" max="12" width="11.875" style="74" bestFit="1" customWidth="1"/>
    <col min="13" max="16384" width="9" style="74"/>
  </cols>
  <sheetData>
    <row r="2" spans="2:3">
      <c r="B2" s="94" t="s">
        <v>32</v>
      </c>
      <c r="C2" s="94"/>
    </row>
    <row r="3" spans="2:3">
      <c r="B3" s="94" t="s">
        <v>33</v>
      </c>
      <c r="C3" s="94"/>
    </row>
    <row r="4" spans="2:3">
      <c r="B4" s="75"/>
    </row>
    <row r="5" spans="2:3" ht="15.75" customHeight="1">
      <c r="B5" s="95" t="s">
        <v>34</v>
      </c>
      <c r="C5" s="95"/>
    </row>
    <row r="6" spans="2:3">
      <c r="B6" s="95"/>
      <c r="C6" s="95"/>
    </row>
    <row r="7" spans="2:3" ht="77.25" customHeight="1">
      <c r="B7" s="95"/>
      <c r="C7" s="95"/>
    </row>
    <row r="8" spans="2:3">
      <c r="B8" s="75"/>
    </row>
    <row r="9" spans="2:3">
      <c r="B9" s="75" t="s">
        <v>70</v>
      </c>
      <c r="C9" s="76">
        <v>748</v>
      </c>
    </row>
    <row r="10" spans="2:3">
      <c r="B10" s="75"/>
      <c r="C10" s="76"/>
    </row>
    <row r="11" spans="2:3">
      <c r="B11" s="75" t="s">
        <v>71</v>
      </c>
      <c r="C11" s="77" t="s">
        <v>52</v>
      </c>
    </row>
    <row r="12" spans="2:3">
      <c r="B12" s="75"/>
      <c r="C12" s="76"/>
    </row>
    <row r="13" spans="2:3">
      <c r="B13" s="75" t="s">
        <v>35</v>
      </c>
      <c r="C13" s="76" t="s">
        <v>72</v>
      </c>
    </row>
    <row r="14" spans="2:3">
      <c r="B14" s="75"/>
      <c r="C14" s="76"/>
    </row>
    <row r="15" spans="2:3">
      <c r="B15" s="75" t="s">
        <v>36</v>
      </c>
      <c r="C15" s="77" t="s">
        <v>78</v>
      </c>
    </row>
    <row r="16" spans="2:3">
      <c r="B16" s="75"/>
    </row>
    <row r="17" spans="2:3" ht="102" customHeight="1">
      <c r="B17" s="95" t="s">
        <v>37</v>
      </c>
      <c r="C17" s="95"/>
    </row>
    <row r="18" spans="2:3">
      <c r="B18" s="75"/>
    </row>
    <row r="19" spans="2:3">
      <c r="B19" s="78" t="s">
        <v>73</v>
      </c>
      <c r="C19" s="79">
        <f ca="1">TODAY()</f>
        <v>44959</v>
      </c>
    </row>
    <row r="20" spans="2:3">
      <c r="B20" s="75"/>
    </row>
    <row r="21" spans="2:3">
      <c r="B21" s="75" t="s">
        <v>38</v>
      </c>
    </row>
    <row r="22" spans="2:3">
      <c r="B22" s="75" t="s">
        <v>74</v>
      </c>
    </row>
    <row r="23" spans="2:3">
      <c r="B23" s="80" t="s">
        <v>75</v>
      </c>
    </row>
    <row r="24" spans="2:3">
      <c r="B24" s="80"/>
    </row>
  </sheetData>
  <mergeCells count="4">
    <mergeCell ref="B2:C2"/>
    <mergeCell ref="B5:C7"/>
    <mergeCell ref="B17:C17"/>
    <mergeCell ref="B3:C3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&amp;C&amp;1#&amp;"Calibri"&amp;10&amp;K000000Classificação da informação: Uso Interno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Aqui Planilha</vt:lpstr>
      <vt:lpstr>FormulaOcult</vt:lpstr>
      <vt:lpstr>NvSalarioMacro</vt:lpstr>
      <vt:lpstr>ListaContas</vt:lpstr>
      <vt:lpstr>FormTransfer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Bonatto</dc:creator>
  <cp:lastModifiedBy>Jean Bonatto</cp:lastModifiedBy>
  <cp:lastPrinted>2023-02-02T14:10:10Z</cp:lastPrinted>
  <dcterms:created xsi:type="dcterms:W3CDTF">2023-01-17T16:54:14Z</dcterms:created>
  <dcterms:modified xsi:type="dcterms:W3CDTF">2023-02-02T14:10:45Z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9deea41-824f-4c3c-afd5-7afdfc16eee8_Enabled">
    <vt:lpwstr>true</vt:lpwstr>
  </property>
  <property fmtid="{D5CDD505-2E9C-101B-9397-08002B2CF9AE}" pid="3" name="MSIP_Label_99deea41-824f-4c3c-afd5-7afdfc16eee8_SetDate">
    <vt:lpwstr>2023-02-02T14:10:45Z</vt:lpwstr>
  </property>
  <property fmtid="{D5CDD505-2E9C-101B-9397-08002B2CF9AE}" pid="4" name="MSIP_Label_99deea41-824f-4c3c-afd5-7afdfc16eee8_Method">
    <vt:lpwstr>Standard</vt:lpwstr>
  </property>
  <property fmtid="{D5CDD505-2E9C-101B-9397-08002B2CF9AE}" pid="5" name="MSIP_Label_99deea41-824f-4c3c-afd5-7afdfc16eee8_Name">
    <vt:lpwstr>99deea41-824f-4c3c-afd5-7afdfc16eee8</vt:lpwstr>
  </property>
  <property fmtid="{D5CDD505-2E9C-101B-9397-08002B2CF9AE}" pid="6" name="MSIP_Label_99deea41-824f-4c3c-afd5-7afdfc16eee8_SiteId">
    <vt:lpwstr>3223964c-6e1f-48ba-b705-423351281a8c</vt:lpwstr>
  </property>
  <property fmtid="{D5CDD505-2E9C-101B-9397-08002B2CF9AE}" pid="7" name="MSIP_Label_99deea41-824f-4c3c-afd5-7afdfc16eee8_ActionId">
    <vt:lpwstr>8fcd87b6-b5f0-48e7-9233-7abb29693bda</vt:lpwstr>
  </property>
  <property fmtid="{D5CDD505-2E9C-101B-9397-08002B2CF9AE}" pid="8" name="MSIP_Label_99deea41-824f-4c3c-afd5-7afdfc16eee8_ContentBits">
    <vt:lpwstr>2</vt:lpwstr>
  </property>
</Properties>
</file>