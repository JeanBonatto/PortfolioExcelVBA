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7020" yWindow="0" windowWidth="8430" windowHeight="4365" activeTab="3"/>
  </bookViews>
  <sheets>
    <sheet name="Aqui Planilha" sheetId="1" r:id="rId1"/>
    <sheet name="FormulaOcult" sheetId="5" state="hidden" r:id="rId2"/>
    <sheet name="Planilha SIAT" sheetId="2" r:id="rId3"/>
    <sheet name="ListaContas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C3" i="3"/>
  <c r="D3" i="3"/>
  <c r="C5" i="2"/>
  <c r="S4" i="2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4" i="5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4" i="2"/>
  <c r="L5" i="5"/>
  <c r="T5" i="5"/>
  <c r="U5" i="5"/>
  <c r="V5" i="5"/>
  <c r="W5" i="5"/>
  <c r="L6" i="5"/>
  <c r="L6" i="2" s="1"/>
  <c r="T6" i="5"/>
  <c r="U6" i="5"/>
  <c r="V6" i="5"/>
  <c r="W6" i="5"/>
  <c r="L7" i="5"/>
  <c r="T7" i="5"/>
  <c r="U7" i="5"/>
  <c r="V7" i="5"/>
  <c r="W7" i="5"/>
  <c r="L8" i="5"/>
  <c r="T8" i="5"/>
  <c r="U8" i="5"/>
  <c r="V8" i="5"/>
  <c r="W8" i="5"/>
  <c r="L9" i="5"/>
  <c r="T9" i="5"/>
  <c r="U9" i="5"/>
  <c r="V9" i="5"/>
  <c r="W9" i="5"/>
  <c r="L10" i="5"/>
  <c r="L10" i="2" s="1"/>
  <c r="T10" i="5"/>
  <c r="U10" i="5"/>
  <c r="V10" i="5"/>
  <c r="W10" i="5"/>
  <c r="L11" i="5"/>
  <c r="T11" i="5"/>
  <c r="U11" i="5"/>
  <c r="V11" i="5"/>
  <c r="W11" i="5"/>
  <c r="L12" i="5"/>
  <c r="T12" i="5"/>
  <c r="U12" i="5"/>
  <c r="V12" i="5"/>
  <c r="W12" i="5"/>
  <c r="L13" i="5"/>
  <c r="T13" i="5"/>
  <c r="U13" i="5"/>
  <c r="V13" i="5"/>
  <c r="W13" i="5"/>
  <c r="L14" i="5"/>
  <c r="L14" i="2" s="1"/>
  <c r="T14" i="5"/>
  <c r="U14" i="5"/>
  <c r="V14" i="5"/>
  <c r="W14" i="5"/>
  <c r="L15" i="5"/>
  <c r="T15" i="5"/>
  <c r="U15" i="5"/>
  <c r="V15" i="5"/>
  <c r="W15" i="5"/>
  <c r="L16" i="5"/>
  <c r="T16" i="5"/>
  <c r="U16" i="5"/>
  <c r="V16" i="5"/>
  <c r="W16" i="5"/>
  <c r="L17" i="5"/>
  <c r="T17" i="5"/>
  <c r="U17" i="5"/>
  <c r="V17" i="5"/>
  <c r="W17" i="5"/>
  <c r="L18" i="5"/>
  <c r="L18" i="2" s="1"/>
  <c r="T18" i="5"/>
  <c r="U18" i="5"/>
  <c r="V18" i="5"/>
  <c r="W18" i="5"/>
  <c r="L19" i="5"/>
  <c r="T19" i="5"/>
  <c r="U19" i="5"/>
  <c r="V19" i="5"/>
  <c r="W19" i="5"/>
  <c r="L20" i="5"/>
  <c r="T20" i="5"/>
  <c r="U20" i="5"/>
  <c r="V20" i="5"/>
  <c r="W20" i="5"/>
  <c r="L21" i="5"/>
  <c r="T21" i="5"/>
  <c r="U21" i="5"/>
  <c r="V21" i="5"/>
  <c r="W21" i="5"/>
  <c r="L22" i="5"/>
  <c r="L22" i="2" s="1"/>
  <c r="T22" i="5"/>
  <c r="U22" i="5"/>
  <c r="V22" i="5"/>
  <c r="W22" i="5"/>
  <c r="L23" i="5"/>
  <c r="T23" i="5"/>
  <c r="U23" i="5"/>
  <c r="V23" i="5"/>
  <c r="W23" i="5"/>
  <c r="L24" i="5"/>
  <c r="T24" i="5"/>
  <c r="U24" i="5"/>
  <c r="V24" i="5"/>
  <c r="W24" i="5"/>
  <c r="L25" i="5"/>
  <c r="T25" i="5"/>
  <c r="U25" i="5"/>
  <c r="V25" i="5"/>
  <c r="W25" i="5"/>
  <c r="L26" i="5"/>
  <c r="L26" i="2" s="1"/>
  <c r="T26" i="5"/>
  <c r="U26" i="5"/>
  <c r="V26" i="5"/>
  <c r="W26" i="5"/>
  <c r="L27" i="5"/>
  <c r="T27" i="5"/>
  <c r="U27" i="5"/>
  <c r="V27" i="5"/>
  <c r="W27" i="5"/>
  <c r="L28" i="5"/>
  <c r="T28" i="5"/>
  <c r="U28" i="5"/>
  <c r="V28" i="5"/>
  <c r="W28" i="5"/>
  <c r="L29" i="5"/>
  <c r="T29" i="5"/>
  <c r="U29" i="5"/>
  <c r="V29" i="5"/>
  <c r="W29" i="5"/>
  <c r="L30" i="5"/>
  <c r="T30" i="5"/>
  <c r="U30" i="5"/>
  <c r="V30" i="5"/>
  <c r="W30" i="5"/>
  <c r="L31" i="5"/>
  <c r="T31" i="5"/>
  <c r="U31" i="5"/>
  <c r="V31" i="5"/>
  <c r="W31" i="5"/>
  <c r="L32" i="5"/>
  <c r="T32" i="5"/>
  <c r="U32" i="5"/>
  <c r="V32" i="5"/>
  <c r="W32" i="5"/>
  <c r="L33" i="5"/>
  <c r="T33" i="5"/>
  <c r="U33" i="5"/>
  <c r="V33" i="5"/>
  <c r="W33" i="5"/>
  <c r="L34" i="5"/>
  <c r="L34" i="2" s="1"/>
  <c r="T34" i="5"/>
  <c r="U34" i="5"/>
  <c r="V34" i="5"/>
  <c r="W34" i="5"/>
  <c r="L35" i="5"/>
  <c r="T35" i="5"/>
  <c r="U35" i="5"/>
  <c r="V35" i="5"/>
  <c r="W35" i="5"/>
  <c r="L36" i="5"/>
  <c r="T36" i="5"/>
  <c r="U36" i="5"/>
  <c r="V36" i="5"/>
  <c r="W36" i="5"/>
  <c r="L37" i="5"/>
  <c r="T37" i="5"/>
  <c r="U37" i="5"/>
  <c r="V37" i="5"/>
  <c r="W37" i="5"/>
  <c r="L38" i="5"/>
  <c r="L38" i="2" s="1"/>
  <c r="T38" i="5"/>
  <c r="U38" i="5"/>
  <c r="V38" i="5"/>
  <c r="W38" i="5"/>
  <c r="L39" i="5"/>
  <c r="L39" i="2" s="1"/>
  <c r="T39" i="5"/>
  <c r="U39" i="5"/>
  <c r="V39" i="5"/>
  <c r="W39" i="5"/>
  <c r="L40" i="5"/>
  <c r="T40" i="5"/>
  <c r="U40" i="5"/>
  <c r="V40" i="5"/>
  <c r="W40" i="5"/>
  <c r="L41" i="5"/>
  <c r="T41" i="5"/>
  <c r="U41" i="5"/>
  <c r="V41" i="5"/>
  <c r="W41" i="5"/>
  <c r="L42" i="5"/>
  <c r="L42" i="2" s="1"/>
  <c r="T42" i="5"/>
  <c r="U42" i="5"/>
  <c r="V42" i="5"/>
  <c r="W42" i="5"/>
  <c r="L43" i="5"/>
  <c r="T43" i="5"/>
  <c r="U43" i="5"/>
  <c r="V43" i="5"/>
  <c r="W43" i="5"/>
  <c r="L44" i="5"/>
  <c r="T44" i="5"/>
  <c r="U44" i="5"/>
  <c r="V44" i="5"/>
  <c r="W44" i="5"/>
  <c r="L45" i="5"/>
  <c r="T45" i="5"/>
  <c r="U45" i="5"/>
  <c r="V45" i="5"/>
  <c r="W45" i="5"/>
  <c r="L46" i="5"/>
  <c r="L46" i="2" s="1"/>
  <c r="T46" i="5"/>
  <c r="U46" i="5"/>
  <c r="V46" i="5"/>
  <c r="W46" i="5"/>
  <c r="L47" i="5"/>
  <c r="T47" i="5"/>
  <c r="U47" i="5"/>
  <c r="V47" i="5"/>
  <c r="W47" i="5"/>
  <c r="L48" i="5"/>
  <c r="T48" i="5"/>
  <c r="U48" i="5"/>
  <c r="V48" i="5"/>
  <c r="W48" i="5"/>
  <c r="L49" i="5"/>
  <c r="T49" i="5"/>
  <c r="U49" i="5"/>
  <c r="V49" i="5"/>
  <c r="W49" i="5"/>
  <c r="L50" i="5"/>
  <c r="L50" i="2" s="1"/>
  <c r="S50" i="5"/>
  <c r="T50" i="5"/>
  <c r="U50" i="5"/>
  <c r="V50" i="5"/>
  <c r="W50" i="5"/>
  <c r="L5" i="2"/>
  <c r="L7" i="2"/>
  <c r="L30" i="2"/>
  <c r="L8" i="2"/>
  <c r="B5" i="2"/>
  <c r="B6" i="2"/>
  <c r="B7" i="2"/>
  <c r="B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D5" i="2"/>
  <c r="H5" i="2"/>
  <c r="M5" i="2"/>
  <c r="Q5" i="2"/>
  <c r="S5" i="2"/>
  <c r="T5" i="2"/>
  <c r="U5" i="2"/>
  <c r="V5" i="2"/>
  <c r="W5" i="2"/>
  <c r="D6" i="2"/>
  <c r="H6" i="2"/>
  <c r="M6" i="2"/>
  <c r="Q6" i="2"/>
  <c r="S6" i="2"/>
  <c r="T6" i="2"/>
  <c r="U6" i="2"/>
  <c r="V6" i="2"/>
  <c r="W6" i="2"/>
  <c r="D7" i="2"/>
  <c r="H7" i="2"/>
  <c r="M7" i="2"/>
  <c r="Q7" i="2"/>
  <c r="S7" i="2"/>
  <c r="T7" i="2"/>
  <c r="U7" i="2"/>
  <c r="V7" i="2"/>
  <c r="W7" i="2"/>
  <c r="B8" i="2"/>
  <c r="D8" i="2"/>
  <c r="H8" i="2"/>
  <c r="M8" i="2"/>
  <c r="Q8" i="2"/>
  <c r="S8" i="2"/>
  <c r="T8" i="2"/>
  <c r="U8" i="2"/>
  <c r="V8" i="2"/>
  <c r="W8" i="2"/>
  <c r="B9" i="2"/>
  <c r="D9" i="2"/>
  <c r="H9" i="2"/>
  <c r="M9" i="2"/>
  <c r="Q9" i="2"/>
  <c r="S9" i="2"/>
  <c r="T9" i="2"/>
  <c r="U9" i="2"/>
  <c r="V9" i="2"/>
  <c r="W9" i="2"/>
  <c r="B10" i="2"/>
  <c r="D10" i="2"/>
  <c r="H10" i="2"/>
  <c r="M10" i="2"/>
  <c r="Q10" i="2"/>
  <c r="S10" i="2"/>
  <c r="T10" i="2"/>
  <c r="U10" i="2"/>
  <c r="V10" i="2"/>
  <c r="W10" i="2"/>
  <c r="B11" i="2"/>
  <c r="D11" i="2"/>
  <c r="H11" i="2"/>
  <c r="L11" i="2"/>
  <c r="M11" i="2"/>
  <c r="Q11" i="2"/>
  <c r="S11" i="2"/>
  <c r="T11" i="2"/>
  <c r="U11" i="2"/>
  <c r="V11" i="2"/>
  <c r="W11" i="2"/>
  <c r="B12" i="2"/>
  <c r="D12" i="2"/>
  <c r="H12" i="2"/>
  <c r="L12" i="2"/>
  <c r="M12" i="2"/>
  <c r="Q12" i="2"/>
  <c r="S12" i="2"/>
  <c r="T12" i="2"/>
  <c r="U12" i="2"/>
  <c r="V12" i="2"/>
  <c r="W12" i="2"/>
  <c r="B13" i="2"/>
  <c r="D13" i="2"/>
  <c r="H13" i="2"/>
  <c r="L13" i="2"/>
  <c r="M13" i="2"/>
  <c r="Q13" i="2"/>
  <c r="S13" i="2"/>
  <c r="T13" i="2"/>
  <c r="U13" i="2"/>
  <c r="V13" i="2"/>
  <c r="W13" i="2"/>
  <c r="B14" i="2"/>
  <c r="D14" i="2"/>
  <c r="H14" i="2"/>
  <c r="M14" i="2"/>
  <c r="Q14" i="2"/>
  <c r="S14" i="2"/>
  <c r="T14" i="2"/>
  <c r="U14" i="2"/>
  <c r="V14" i="2"/>
  <c r="W14" i="2"/>
  <c r="B15" i="2"/>
  <c r="D15" i="2"/>
  <c r="H15" i="2"/>
  <c r="L15" i="2"/>
  <c r="M15" i="2"/>
  <c r="Q15" i="2"/>
  <c r="S15" i="2"/>
  <c r="T15" i="2"/>
  <c r="U15" i="2"/>
  <c r="V15" i="2"/>
  <c r="W15" i="2"/>
  <c r="B16" i="2"/>
  <c r="D16" i="2"/>
  <c r="H16" i="2"/>
  <c r="L16" i="2"/>
  <c r="M16" i="2"/>
  <c r="Q16" i="2"/>
  <c r="S16" i="2"/>
  <c r="T16" i="2"/>
  <c r="U16" i="2"/>
  <c r="V16" i="2"/>
  <c r="W16" i="2"/>
  <c r="B17" i="2"/>
  <c r="D17" i="2"/>
  <c r="H17" i="2"/>
  <c r="L17" i="2"/>
  <c r="M17" i="2"/>
  <c r="Q17" i="2"/>
  <c r="S17" i="2"/>
  <c r="T17" i="2"/>
  <c r="U17" i="2"/>
  <c r="V17" i="2"/>
  <c r="W17" i="2"/>
  <c r="B18" i="2"/>
  <c r="D18" i="2"/>
  <c r="H18" i="2"/>
  <c r="M18" i="2"/>
  <c r="Q18" i="2"/>
  <c r="S18" i="2"/>
  <c r="T18" i="2"/>
  <c r="U18" i="2"/>
  <c r="V18" i="2"/>
  <c r="W18" i="2"/>
  <c r="B19" i="2"/>
  <c r="D19" i="2"/>
  <c r="H19" i="2"/>
  <c r="L19" i="2"/>
  <c r="M19" i="2"/>
  <c r="Q19" i="2"/>
  <c r="S19" i="2"/>
  <c r="T19" i="2"/>
  <c r="U19" i="2"/>
  <c r="V19" i="2"/>
  <c r="W19" i="2"/>
  <c r="B20" i="2"/>
  <c r="D20" i="2"/>
  <c r="H20" i="2"/>
  <c r="L20" i="2"/>
  <c r="M20" i="2"/>
  <c r="Q20" i="2"/>
  <c r="S20" i="2"/>
  <c r="T20" i="2"/>
  <c r="U20" i="2"/>
  <c r="V20" i="2"/>
  <c r="W20" i="2"/>
  <c r="B21" i="2"/>
  <c r="D21" i="2"/>
  <c r="H21" i="2"/>
  <c r="L21" i="2"/>
  <c r="M21" i="2"/>
  <c r="Q21" i="2"/>
  <c r="S21" i="2"/>
  <c r="T21" i="2"/>
  <c r="U21" i="2"/>
  <c r="V21" i="2"/>
  <c r="W21" i="2"/>
  <c r="B22" i="2"/>
  <c r="D22" i="2"/>
  <c r="H22" i="2"/>
  <c r="M22" i="2"/>
  <c r="Q22" i="2"/>
  <c r="S22" i="2"/>
  <c r="T22" i="2"/>
  <c r="U22" i="2"/>
  <c r="V22" i="2"/>
  <c r="W22" i="2"/>
  <c r="B23" i="2"/>
  <c r="D23" i="2"/>
  <c r="H23" i="2"/>
  <c r="L23" i="2"/>
  <c r="M23" i="2"/>
  <c r="Q23" i="2"/>
  <c r="S23" i="2"/>
  <c r="T23" i="2"/>
  <c r="U23" i="2"/>
  <c r="V23" i="2"/>
  <c r="W23" i="2"/>
  <c r="B24" i="2"/>
  <c r="D24" i="2"/>
  <c r="H24" i="2"/>
  <c r="L24" i="2"/>
  <c r="M24" i="2"/>
  <c r="Q24" i="2"/>
  <c r="S24" i="2"/>
  <c r="T24" i="2"/>
  <c r="U24" i="2"/>
  <c r="V24" i="2"/>
  <c r="W24" i="2"/>
  <c r="B25" i="2"/>
  <c r="D25" i="2"/>
  <c r="H25" i="2"/>
  <c r="L25" i="2"/>
  <c r="M25" i="2"/>
  <c r="Q25" i="2"/>
  <c r="S25" i="2"/>
  <c r="T25" i="2"/>
  <c r="U25" i="2"/>
  <c r="V25" i="2"/>
  <c r="W25" i="2"/>
  <c r="B26" i="2"/>
  <c r="D26" i="2"/>
  <c r="H26" i="2"/>
  <c r="M26" i="2"/>
  <c r="Q26" i="2"/>
  <c r="S26" i="2"/>
  <c r="T26" i="2"/>
  <c r="U26" i="2"/>
  <c r="V26" i="2"/>
  <c r="W26" i="2"/>
  <c r="B27" i="2"/>
  <c r="D27" i="2"/>
  <c r="H27" i="2"/>
  <c r="L27" i="2"/>
  <c r="M27" i="2"/>
  <c r="Q27" i="2"/>
  <c r="S27" i="2"/>
  <c r="T27" i="2"/>
  <c r="U27" i="2"/>
  <c r="V27" i="2"/>
  <c r="W27" i="2"/>
  <c r="B28" i="2"/>
  <c r="D28" i="2"/>
  <c r="H28" i="2"/>
  <c r="L28" i="2"/>
  <c r="M28" i="2"/>
  <c r="Q28" i="2"/>
  <c r="S28" i="2"/>
  <c r="T28" i="2"/>
  <c r="U28" i="2"/>
  <c r="V28" i="2"/>
  <c r="W28" i="2"/>
  <c r="B29" i="2"/>
  <c r="D29" i="2"/>
  <c r="H29" i="2"/>
  <c r="L29" i="2"/>
  <c r="M29" i="2"/>
  <c r="Q29" i="2"/>
  <c r="S29" i="2"/>
  <c r="T29" i="2"/>
  <c r="U29" i="2"/>
  <c r="V29" i="2"/>
  <c r="W29" i="2"/>
  <c r="B30" i="2"/>
  <c r="D30" i="2"/>
  <c r="H30" i="2"/>
  <c r="M30" i="2"/>
  <c r="Q30" i="2"/>
  <c r="S30" i="2"/>
  <c r="T30" i="2"/>
  <c r="U30" i="2"/>
  <c r="V30" i="2"/>
  <c r="W30" i="2"/>
  <c r="B31" i="2"/>
  <c r="D31" i="2"/>
  <c r="H31" i="2"/>
  <c r="L31" i="2"/>
  <c r="M31" i="2"/>
  <c r="Q31" i="2"/>
  <c r="S31" i="2"/>
  <c r="T31" i="2"/>
  <c r="U31" i="2"/>
  <c r="V31" i="2"/>
  <c r="W31" i="2"/>
  <c r="B32" i="2"/>
  <c r="D32" i="2"/>
  <c r="H32" i="2"/>
  <c r="L32" i="2"/>
  <c r="M32" i="2"/>
  <c r="Q32" i="2"/>
  <c r="S32" i="2"/>
  <c r="T32" i="2"/>
  <c r="U32" i="2"/>
  <c r="V32" i="2"/>
  <c r="W32" i="2"/>
  <c r="B33" i="2"/>
  <c r="D33" i="2"/>
  <c r="H33" i="2"/>
  <c r="L33" i="2"/>
  <c r="M33" i="2"/>
  <c r="Q33" i="2"/>
  <c r="S33" i="2"/>
  <c r="T33" i="2"/>
  <c r="U33" i="2"/>
  <c r="V33" i="2"/>
  <c r="W33" i="2"/>
  <c r="B34" i="2"/>
  <c r="D34" i="2"/>
  <c r="H34" i="2"/>
  <c r="M34" i="2"/>
  <c r="Q34" i="2"/>
  <c r="S34" i="2"/>
  <c r="T34" i="2"/>
  <c r="U34" i="2"/>
  <c r="V34" i="2"/>
  <c r="W34" i="2"/>
  <c r="B35" i="2"/>
  <c r="D35" i="2"/>
  <c r="H35" i="2"/>
  <c r="L35" i="2"/>
  <c r="M35" i="2"/>
  <c r="Q35" i="2"/>
  <c r="S35" i="2"/>
  <c r="T35" i="2"/>
  <c r="U35" i="2"/>
  <c r="V35" i="2"/>
  <c r="W35" i="2"/>
  <c r="B36" i="2"/>
  <c r="D36" i="2"/>
  <c r="H36" i="2"/>
  <c r="L36" i="2"/>
  <c r="M36" i="2"/>
  <c r="Q36" i="2"/>
  <c r="S36" i="2"/>
  <c r="T36" i="2"/>
  <c r="U36" i="2"/>
  <c r="V36" i="2"/>
  <c r="W36" i="2"/>
  <c r="B37" i="2"/>
  <c r="D37" i="2"/>
  <c r="H37" i="2"/>
  <c r="L37" i="2"/>
  <c r="M37" i="2"/>
  <c r="Q37" i="2"/>
  <c r="S37" i="2"/>
  <c r="T37" i="2"/>
  <c r="U37" i="2"/>
  <c r="V37" i="2"/>
  <c r="W37" i="2"/>
  <c r="B38" i="2"/>
  <c r="D38" i="2"/>
  <c r="H38" i="2"/>
  <c r="M38" i="2"/>
  <c r="Q38" i="2"/>
  <c r="S38" i="2"/>
  <c r="T38" i="2"/>
  <c r="U38" i="2"/>
  <c r="V38" i="2"/>
  <c r="W38" i="2"/>
  <c r="B39" i="2"/>
  <c r="D39" i="2"/>
  <c r="H39" i="2"/>
  <c r="M39" i="2"/>
  <c r="Q39" i="2"/>
  <c r="S39" i="2"/>
  <c r="T39" i="2"/>
  <c r="U39" i="2"/>
  <c r="V39" i="2"/>
  <c r="W39" i="2"/>
  <c r="B40" i="2"/>
  <c r="D40" i="2"/>
  <c r="H40" i="2"/>
  <c r="L40" i="2"/>
  <c r="M40" i="2"/>
  <c r="Q40" i="2"/>
  <c r="S40" i="2"/>
  <c r="T40" i="2"/>
  <c r="U40" i="2"/>
  <c r="V40" i="2"/>
  <c r="W40" i="2"/>
  <c r="B41" i="2"/>
  <c r="D41" i="2"/>
  <c r="H41" i="2"/>
  <c r="L41" i="2"/>
  <c r="M41" i="2"/>
  <c r="Q41" i="2"/>
  <c r="S41" i="2"/>
  <c r="T41" i="2"/>
  <c r="U41" i="2"/>
  <c r="V41" i="2"/>
  <c r="W41" i="2"/>
  <c r="B42" i="2"/>
  <c r="D42" i="2"/>
  <c r="H42" i="2"/>
  <c r="M42" i="2"/>
  <c r="Q42" i="2"/>
  <c r="S42" i="2"/>
  <c r="T42" i="2"/>
  <c r="U42" i="2"/>
  <c r="V42" i="2"/>
  <c r="W42" i="2"/>
  <c r="B43" i="2"/>
  <c r="D43" i="2"/>
  <c r="H43" i="2"/>
  <c r="L43" i="2"/>
  <c r="M43" i="2"/>
  <c r="Q43" i="2"/>
  <c r="S43" i="2"/>
  <c r="T43" i="2"/>
  <c r="U43" i="2"/>
  <c r="V43" i="2"/>
  <c r="W43" i="2"/>
  <c r="B44" i="2"/>
  <c r="D44" i="2"/>
  <c r="H44" i="2"/>
  <c r="L44" i="2"/>
  <c r="M44" i="2"/>
  <c r="Q44" i="2"/>
  <c r="S44" i="2"/>
  <c r="T44" i="2"/>
  <c r="U44" i="2"/>
  <c r="V44" i="2"/>
  <c r="W44" i="2"/>
  <c r="B45" i="2"/>
  <c r="D45" i="2"/>
  <c r="H45" i="2"/>
  <c r="L45" i="2"/>
  <c r="M45" i="2"/>
  <c r="Q45" i="2"/>
  <c r="S45" i="2"/>
  <c r="T45" i="2"/>
  <c r="U45" i="2"/>
  <c r="V45" i="2"/>
  <c r="W45" i="2"/>
  <c r="B46" i="2"/>
  <c r="D46" i="2"/>
  <c r="H46" i="2"/>
  <c r="M46" i="2"/>
  <c r="Q46" i="2"/>
  <c r="S46" i="2"/>
  <c r="T46" i="2"/>
  <c r="U46" i="2"/>
  <c r="V46" i="2"/>
  <c r="W46" i="2"/>
  <c r="B47" i="2"/>
  <c r="D47" i="2"/>
  <c r="H47" i="2"/>
  <c r="L47" i="2"/>
  <c r="M47" i="2"/>
  <c r="Q47" i="2"/>
  <c r="S47" i="2"/>
  <c r="T47" i="2"/>
  <c r="U47" i="2"/>
  <c r="V47" i="2"/>
  <c r="W47" i="2"/>
  <c r="B48" i="2"/>
  <c r="D48" i="2"/>
  <c r="H48" i="2"/>
  <c r="L48" i="2"/>
  <c r="M48" i="2"/>
  <c r="Q48" i="2"/>
  <c r="S48" i="2"/>
  <c r="T48" i="2"/>
  <c r="U48" i="2"/>
  <c r="V48" i="2"/>
  <c r="W48" i="2"/>
  <c r="B49" i="2"/>
  <c r="D49" i="2"/>
  <c r="H49" i="2"/>
  <c r="L49" i="2"/>
  <c r="M49" i="2"/>
  <c r="Q49" i="2"/>
  <c r="S49" i="2"/>
  <c r="T49" i="2"/>
  <c r="U49" i="2"/>
  <c r="V49" i="2"/>
  <c r="W49" i="2"/>
  <c r="B50" i="2"/>
  <c r="D50" i="2"/>
  <c r="H50" i="2"/>
  <c r="M50" i="2"/>
  <c r="Q50" i="2"/>
  <c r="S50" i="2"/>
  <c r="T50" i="2"/>
  <c r="U50" i="2"/>
  <c r="V50" i="2"/>
  <c r="W50" i="2"/>
  <c r="L4" i="5"/>
  <c r="L4" i="2" s="1"/>
  <c r="L9" i="2"/>
  <c r="W4" i="2"/>
  <c r="T4" i="2"/>
  <c r="U4" i="2"/>
  <c r="V4" i="2"/>
  <c r="Q4" i="2"/>
  <c r="R6" i="5"/>
  <c r="R14" i="5"/>
  <c r="R22" i="5"/>
  <c r="R30" i="5"/>
  <c r="R38" i="5"/>
  <c r="R46" i="5"/>
  <c r="R15" i="5"/>
  <c r="R23" i="5"/>
  <c r="R39" i="5"/>
  <c r="R5" i="5"/>
  <c r="R13" i="5"/>
  <c r="R21" i="5"/>
  <c r="R29" i="5"/>
  <c r="R37" i="5"/>
  <c r="R45" i="5"/>
  <c r="R47" i="5"/>
  <c r="R12" i="5"/>
  <c r="R20" i="5"/>
  <c r="R28" i="5"/>
  <c r="R36" i="5"/>
  <c r="R44" i="5"/>
  <c r="R11" i="5"/>
  <c r="R19" i="5"/>
  <c r="R27" i="5"/>
  <c r="R35" i="5"/>
  <c r="R43" i="5"/>
  <c r="R10" i="5"/>
  <c r="R18" i="5"/>
  <c r="R26" i="5"/>
  <c r="R34" i="5"/>
  <c r="R42" i="5"/>
  <c r="R50" i="5"/>
  <c r="R31" i="5"/>
  <c r="R9" i="5"/>
  <c r="R17" i="5"/>
  <c r="R25" i="5"/>
  <c r="R33" i="5"/>
  <c r="R41" i="5"/>
  <c r="R49" i="5"/>
  <c r="R7" i="5"/>
  <c r="R8" i="5"/>
  <c r="R16" i="5"/>
  <c r="R24" i="5"/>
  <c r="R32" i="5"/>
  <c r="R40" i="5"/>
  <c r="R48" i="5"/>
  <c r="A5" i="2"/>
  <c r="I5" i="2"/>
  <c r="R5" i="2"/>
  <c r="K6" i="2"/>
  <c r="E7" i="2"/>
  <c r="G8" i="2"/>
  <c r="P8" i="2"/>
  <c r="A9" i="2"/>
  <c r="I9" i="2"/>
  <c r="R9" i="2"/>
  <c r="K10" i="2"/>
  <c r="E11" i="2"/>
  <c r="G12" i="2"/>
  <c r="P12" i="2"/>
  <c r="A13" i="2"/>
  <c r="I13" i="2"/>
  <c r="R13" i="2"/>
  <c r="K14" i="2"/>
  <c r="E15" i="2"/>
  <c r="G16" i="2"/>
  <c r="P16" i="2"/>
  <c r="A17" i="2"/>
  <c r="I17" i="2"/>
  <c r="R17" i="2"/>
  <c r="K18" i="2"/>
  <c r="E19" i="2"/>
  <c r="G20" i="2"/>
  <c r="P20" i="2"/>
  <c r="A21" i="2"/>
  <c r="I21" i="2"/>
  <c r="R21" i="2"/>
  <c r="K22" i="2"/>
  <c r="E23" i="2"/>
  <c r="G24" i="2"/>
  <c r="P24" i="2"/>
  <c r="A25" i="2"/>
  <c r="I25" i="2"/>
  <c r="R25" i="2"/>
  <c r="K26" i="2"/>
  <c r="E27" i="2"/>
  <c r="G28" i="2"/>
  <c r="P28" i="2"/>
  <c r="A29" i="2"/>
  <c r="I29" i="2"/>
  <c r="R29" i="2"/>
  <c r="K30" i="2"/>
  <c r="E31" i="2"/>
  <c r="G32" i="2"/>
  <c r="P32" i="2"/>
  <c r="A33" i="2"/>
  <c r="I33" i="2"/>
  <c r="R33" i="2"/>
  <c r="K34" i="2"/>
  <c r="E35" i="2"/>
  <c r="G36" i="2"/>
  <c r="P36" i="2"/>
  <c r="A37" i="2"/>
  <c r="I37" i="2"/>
  <c r="R37" i="2"/>
  <c r="K38" i="2"/>
  <c r="E39" i="2"/>
  <c r="G40" i="2"/>
  <c r="P40" i="2"/>
  <c r="A41" i="2"/>
  <c r="I41" i="2"/>
  <c r="R41" i="2"/>
  <c r="K42" i="2"/>
  <c r="E43" i="2"/>
  <c r="G44" i="2"/>
  <c r="P44" i="2"/>
  <c r="A45" i="2"/>
  <c r="I45" i="2"/>
  <c r="R45" i="2"/>
  <c r="K46" i="2"/>
  <c r="E47" i="2"/>
  <c r="G48" i="2"/>
  <c r="P48" i="2"/>
  <c r="A49" i="2"/>
  <c r="I49" i="2"/>
  <c r="R49" i="2"/>
  <c r="K50" i="2"/>
  <c r="J9" i="2"/>
  <c r="O11" i="2"/>
  <c r="F15" i="2"/>
  <c r="O15" i="2"/>
  <c r="J17" i="2"/>
  <c r="F19" i="2"/>
  <c r="O19" i="2"/>
  <c r="O23" i="2"/>
  <c r="J25" i="2"/>
  <c r="J29" i="2"/>
  <c r="F31" i="2"/>
  <c r="O31" i="2"/>
  <c r="O35" i="2"/>
  <c r="O39" i="2"/>
  <c r="F47" i="2"/>
  <c r="P15" i="2"/>
  <c r="E18" i="2"/>
  <c r="P19" i="2"/>
  <c r="R20" i="2"/>
  <c r="I24" i="2"/>
  <c r="A28" i="2"/>
  <c r="K29" i="2"/>
  <c r="E30" i="2"/>
  <c r="G31" i="2"/>
  <c r="A32" i="2"/>
  <c r="R32" i="2"/>
  <c r="I36" i="2"/>
  <c r="K45" i="2"/>
  <c r="P47" i="2"/>
  <c r="R48" i="2"/>
  <c r="E50" i="2"/>
  <c r="J40" i="2"/>
  <c r="O42" i="2"/>
  <c r="J5" i="2"/>
  <c r="F7" i="2"/>
  <c r="O7" i="2"/>
  <c r="F11" i="2"/>
  <c r="J13" i="2"/>
  <c r="J21" i="2"/>
  <c r="F23" i="2"/>
  <c r="F27" i="2"/>
  <c r="O27" i="2"/>
  <c r="J33" i="2"/>
  <c r="F35" i="2"/>
  <c r="J37" i="2"/>
  <c r="O43" i="2"/>
  <c r="J45" i="2"/>
  <c r="A20" i="2"/>
  <c r="I28" i="2"/>
  <c r="E34" i="2"/>
  <c r="A36" i="2"/>
  <c r="K37" i="2"/>
  <c r="O46" i="2"/>
  <c r="J48" i="2"/>
  <c r="K5" i="2"/>
  <c r="E6" i="2"/>
  <c r="G7" i="2"/>
  <c r="P7" i="2"/>
  <c r="A8" i="2"/>
  <c r="I8" i="2"/>
  <c r="R8" i="2"/>
  <c r="G11" i="2"/>
  <c r="P11" i="2"/>
  <c r="A12" i="2"/>
  <c r="I12" i="2"/>
  <c r="R12" i="2"/>
  <c r="G15" i="2"/>
  <c r="I16" i="2"/>
  <c r="R16" i="2"/>
  <c r="I32" i="2"/>
  <c r="G35" i="2"/>
  <c r="A40" i="2"/>
  <c r="E42" i="2"/>
  <c r="P43" i="2"/>
  <c r="R44" i="2"/>
  <c r="F42" i="2"/>
  <c r="J44" i="2"/>
  <c r="F6" i="2"/>
  <c r="O6" i="2"/>
  <c r="J8" i="2"/>
  <c r="F10" i="2"/>
  <c r="O10" i="2"/>
  <c r="J12" i="2"/>
  <c r="F14" i="2"/>
  <c r="O14" i="2"/>
  <c r="J16" i="2"/>
  <c r="F18" i="2"/>
  <c r="O18" i="2"/>
  <c r="J20" i="2"/>
  <c r="F22" i="2"/>
  <c r="O22" i="2"/>
  <c r="J24" i="2"/>
  <c r="F26" i="2"/>
  <c r="O26" i="2"/>
  <c r="J28" i="2"/>
  <c r="F30" i="2"/>
  <c r="O30" i="2"/>
  <c r="J32" i="2"/>
  <c r="F34" i="2"/>
  <c r="O34" i="2"/>
  <c r="J36" i="2"/>
  <c r="F38" i="2"/>
  <c r="O38" i="2"/>
  <c r="E5" i="2"/>
  <c r="G6" i="2"/>
  <c r="P6" i="2"/>
  <c r="A7" i="2"/>
  <c r="I7" i="2"/>
  <c r="R7" i="2"/>
  <c r="K8" i="2"/>
  <c r="E9" i="2"/>
  <c r="G10" i="2"/>
  <c r="P10" i="2"/>
  <c r="A11" i="2"/>
  <c r="I11" i="2"/>
  <c r="R11" i="2"/>
  <c r="K12" i="2"/>
  <c r="E13" i="2"/>
  <c r="G14" i="2"/>
  <c r="P14" i="2"/>
  <c r="A15" i="2"/>
  <c r="I15" i="2"/>
  <c r="R15" i="2"/>
  <c r="K16" i="2"/>
  <c r="E17" i="2"/>
  <c r="G18" i="2"/>
  <c r="P18" i="2"/>
  <c r="A19" i="2"/>
  <c r="I19" i="2"/>
  <c r="R19" i="2"/>
  <c r="K20" i="2"/>
  <c r="E21" i="2"/>
  <c r="G22" i="2"/>
  <c r="P22" i="2"/>
  <c r="A23" i="2"/>
  <c r="I23" i="2"/>
  <c r="R23" i="2"/>
  <c r="K24" i="2"/>
  <c r="E25" i="2"/>
  <c r="G26" i="2"/>
  <c r="P26" i="2"/>
  <c r="A27" i="2"/>
  <c r="I27" i="2"/>
  <c r="R27" i="2"/>
  <c r="K28" i="2"/>
  <c r="E29" i="2"/>
  <c r="G30" i="2"/>
  <c r="P30" i="2"/>
  <c r="A31" i="2"/>
  <c r="I31" i="2"/>
  <c r="R31" i="2"/>
  <c r="K32" i="2"/>
  <c r="E33" i="2"/>
  <c r="G34" i="2"/>
  <c r="P34" i="2"/>
  <c r="A35" i="2"/>
  <c r="I35" i="2"/>
  <c r="R35" i="2"/>
  <c r="K36" i="2"/>
  <c r="E37" i="2"/>
  <c r="G38" i="2"/>
  <c r="P38" i="2"/>
  <c r="A39" i="2"/>
  <c r="I39" i="2"/>
  <c r="R39" i="2"/>
  <c r="K40" i="2"/>
  <c r="E41" i="2"/>
  <c r="G42" i="2"/>
  <c r="P42" i="2"/>
  <c r="A43" i="2"/>
  <c r="I43" i="2"/>
  <c r="R43" i="2"/>
  <c r="K44" i="2"/>
  <c r="E45" i="2"/>
  <c r="G46" i="2"/>
  <c r="P46" i="2"/>
  <c r="A47" i="2"/>
  <c r="I47" i="2"/>
  <c r="R47" i="2"/>
  <c r="K48" i="2"/>
  <c r="E49" i="2"/>
  <c r="G50" i="2"/>
  <c r="P50" i="2"/>
  <c r="F37" i="2"/>
  <c r="O37" i="2"/>
  <c r="J39" i="2"/>
  <c r="O41" i="2"/>
  <c r="J43" i="2"/>
  <c r="F45" i="2"/>
  <c r="O49" i="2"/>
  <c r="F24" i="2"/>
  <c r="J26" i="2"/>
  <c r="F28" i="2"/>
  <c r="J30" i="2"/>
  <c r="F32" i="2"/>
  <c r="O32" i="2"/>
  <c r="J42" i="2"/>
  <c r="F44" i="2"/>
  <c r="J46" i="2"/>
  <c r="F48" i="2"/>
  <c r="J50" i="2"/>
  <c r="F39" i="2"/>
  <c r="J49" i="2"/>
  <c r="E10" i="2"/>
  <c r="K13" i="2"/>
  <c r="K17" i="2"/>
  <c r="G19" i="2"/>
  <c r="I20" i="2"/>
  <c r="K21" i="2"/>
  <c r="E22" i="2"/>
  <c r="P23" i="2"/>
  <c r="A24" i="2"/>
  <c r="R24" i="2"/>
  <c r="K25" i="2"/>
  <c r="E26" i="2"/>
  <c r="G27" i="2"/>
  <c r="P27" i="2"/>
  <c r="R28" i="2"/>
  <c r="P35" i="2"/>
  <c r="R36" i="2"/>
  <c r="E38" i="2"/>
  <c r="P39" i="2"/>
  <c r="I40" i="2"/>
  <c r="K41" i="2"/>
  <c r="G43" i="2"/>
  <c r="I44" i="2"/>
  <c r="G47" i="2"/>
  <c r="I48" i="2"/>
  <c r="K49" i="2"/>
  <c r="F5" i="2"/>
  <c r="O5" i="2"/>
  <c r="J7" i="2"/>
  <c r="F9" i="2"/>
  <c r="O9" i="2"/>
  <c r="J11" i="2"/>
  <c r="F13" i="2"/>
  <c r="O13" i="2"/>
  <c r="J15" i="2"/>
  <c r="F17" i="2"/>
  <c r="O17" i="2"/>
  <c r="J19" i="2"/>
  <c r="F21" i="2"/>
  <c r="O21" i="2"/>
  <c r="J23" i="2"/>
  <c r="F25" i="2"/>
  <c r="O25" i="2"/>
  <c r="J27" i="2"/>
  <c r="F29" i="2"/>
  <c r="O29" i="2"/>
  <c r="J31" i="2"/>
  <c r="F33" i="2"/>
  <c r="O33" i="2"/>
  <c r="J35" i="2"/>
  <c r="F41" i="2"/>
  <c r="O45" i="2"/>
  <c r="J47" i="2"/>
  <c r="F49" i="2"/>
  <c r="O24" i="2"/>
  <c r="O28" i="2"/>
  <c r="O36" i="2"/>
  <c r="O44" i="2"/>
  <c r="J41" i="2"/>
  <c r="E14" i="2"/>
  <c r="A16" i="2"/>
  <c r="P31" i="2"/>
  <c r="K33" i="2"/>
  <c r="A44" i="2"/>
  <c r="E46" i="2"/>
  <c r="A48" i="2"/>
  <c r="F50" i="2"/>
  <c r="G5" i="2"/>
  <c r="P5" i="2"/>
  <c r="A6" i="2"/>
  <c r="I6" i="2"/>
  <c r="R6" i="2"/>
  <c r="K7" i="2"/>
  <c r="E8" i="2"/>
  <c r="G9" i="2"/>
  <c r="P9" i="2"/>
  <c r="A10" i="2"/>
  <c r="I10" i="2"/>
  <c r="R10" i="2"/>
  <c r="K11" i="2"/>
  <c r="E12" i="2"/>
  <c r="G13" i="2"/>
  <c r="P13" i="2"/>
  <c r="A14" i="2"/>
  <c r="I14" i="2"/>
  <c r="R14" i="2"/>
  <c r="K15" i="2"/>
  <c r="E16" i="2"/>
  <c r="G17" i="2"/>
  <c r="P17" i="2"/>
  <c r="A18" i="2"/>
  <c r="I18" i="2"/>
  <c r="R18" i="2"/>
  <c r="K19" i="2"/>
  <c r="E20" i="2"/>
  <c r="G21" i="2"/>
  <c r="P21" i="2"/>
  <c r="A22" i="2"/>
  <c r="I22" i="2"/>
  <c r="R22" i="2"/>
  <c r="K23" i="2"/>
  <c r="E24" i="2"/>
  <c r="G25" i="2"/>
  <c r="P25" i="2"/>
  <c r="A26" i="2"/>
  <c r="I26" i="2"/>
  <c r="R26" i="2"/>
  <c r="K27" i="2"/>
  <c r="E28" i="2"/>
  <c r="G29" i="2"/>
  <c r="P29" i="2"/>
  <c r="A30" i="2"/>
  <c r="I30" i="2"/>
  <c r="R30" i="2"/>
  <c r="K31" i="2"/>
  <c r="E32" i="2"/>
  <c r="G33" i="2"/>
  <c r="P33" i="2"/>
  <c r="A34" i="2"/>
  <c r="I34" i="2"/>
  <c r="R34" i="2"/>
  <c r="K35" i="2"/>
  <c r="E36" i="2"/>
  <c r="G37" i="2"/>
  <c r="P37" i="2"/>
  <c r="A38" i="2"/>
  <c r="I38" i="2"/>
  <c r="R38" i="2"/>
  <c r="K39" i="2"/>
  <c r="E40" i="2"/>
  <c r="G41" i="2"/>
  <c r="P41" i="2"/>
  <c r="A42" i="2"/>
  <c r="I42" i="2"/>
  <c r="R42" i="2"/>
  <c r="K43" i="2"/>
  <c r="E44" i="2"/>
  <c r="G45" i="2"/>
  <c r="P45" i="2"/>
  <c r="A46" i="2"/>
  <c r="I46" i="2"/>
  <c r="R46" i="2"/>
  <c r="K47" i="2"/>
  <c r="E48" i="2"/>
  <c r="G49" i="2"/>
  <c r="P49" i="2"/>
  <c r="A50" i="2"/>
  <c r="I50" i="2"/>
  <c r="R50" i="2"/>
  <c r="J6" i="2"/>
  <c r="F8" i="2"/>
  <c r="O8" i="2"/>
  <c r="J10" i="2"/>
  <c r="F12" i="2"/>
  <c r="O12" i="2"/>
  <c r="J14" i="2"/>
  <c r="F16" i="2"/>
  <c r="O16" i="2"/>
  <c r="J18" i="2"/>
  <c r="F20" i="2"/>
  <c r="O20" i="2"/>
  <c r="J22" i="2"/>
  <c r="J34" i="2"/>
  <c r="F36" i="2"/>
  <c r="J38" i="2"/>
  <c r="F40" i="2"/>
  <c r="O40" i="2"/>
  <c r="O48" i="2"/>
  <c r="F43" i="2"/>
  <c r="O47" i="2"/>
  <c r="K9" i="2"/>
  <c r="G23" i="2"/>
  <c r="G39" i="2"/>
  <c r="R40" i="2"/>
  <c r="F46" i="2"/>
  <c r="O50" i="2"/>
  <c r="I4" i="2"/>
  <c r="M4" i="2" l="1"/>
  <c r="H4" i="2"/>
  <c r="K4" i="2"/>
  <c r="J4" i="2"/>
  <c r="R4" i="2"/>
  <c r="P4" i="2"/>
  <c r="O4" i="2"/>
  <c r="D4" i="2" l="1"/>
  <c r="G4" i="2"/>
  <c r="F4" i="2"/>
  <c r="E4" i="2"/>
  <c r="C4" i="2" l="1"/>
  <c r="C2" i="2" s="1"/>
  <c r="A4" i="2"/>
</calcChain>
</file>

<file path=xl/sharedStrings.xml><?xml version="1.0" encoding="utf-8"?>
<sst xmlns="http://schemas.openxmlformats.org/spreadsheetml/2006/main" count="100" uniqueCount="44">
  <si>
    <t>COD_CONVENIO</t>
  </si>
  <si>
    <t>COOPERATIVA</t>
  </si>
  <si>
    <t>QUANTIDADE</t>
  </si>
  <si>
    <t>ZWT</t>
  </si>
  <si>
    <t>NOME TITULAR</t>
  </si>
  <si>
    <t>DAT_NASCIMENTO</t>
  </si>
  <si>
    <t>SEXO</t>
  </si>
  <si>
    <t>NUM_CEP</t>
  </si>
  <si>
    <t>NOME_BAIRRO</t>
  </si>
  <si>
    <t>TP_LOGRADOURO</t>
  </si>
  <si>
    <t>LOGRADOURO</t>
  </si>
  <si>
    <t xml:space="preserve">NUMERO </t>
  </si>
  <si>
    <t>COMPLEMENTO</t>
  </si>
  <si>
    <t>MUNICIPIO</t>
  </si>
  <si>
    <t>UF ENDERECO</t>
  </si>
  <si>
    <t>NUM_CPF</t>
  </si>
  <si>
    <t>IDENTIDADE</t>
  </si>
  <si>
    <t>DAT_EMISSAO</t>
  </si>
  <si>
    <t>ORG EXPEDIDOR</t>
  </si>
  <si>
    <t>UF IDENTIDADE</t>
  </si>
  <si>
    <t>UA</t>
  </si>
  <si>
    <t>NOM_REPRESENTANTE</t>
  </si>
  <si>
    <t>CPF_REPRESENTANTE</t>
  </si>
  <si>
    <t>COD_BANCO_DEST</t>
  </si>
  <si>
    <t>NUM_AGENCIA_DEST</t>
  </si>
  <si>
    <t>NUM_CONTA_DEST</t>
  </si>
  <si>
    <t>Tipo de Conta</t>
  </si>
  <si>
    <t>M</t>
  </si>
  <si>
    <t>CONTAS</t>
  </si>
  <si>
    <t>Nº da Conta</t>
  </si>
  <si>
    <t>Nome do Titular</t>
  </si>
  <si>
    <t>José Adão Britóskí</t>
  </si>
  <si>
    <t>22.5-2022</t>
  </si>
  <si>
    <t>89.900-000</t>
  </si>
  <si>
    <t>Ruó</t>
  </si>
  <si>
    <t>LofftíÁ</t>
  </si>
  <si>
    <t>São Miguel do Oeste</t>
  </si>
  <si>
    <t>Sc</t>
  </si>
  <si>
    <t>Ssp</t>
  </si>
  <si>
    <t>546.5465-15</t>
  </si>
  <si>
    <t>Estr</t>
  </si>
  <si>
    <t>0313</t>
  </si>
  <si>
    <t>Não precisa preencher</t>
  </si>
  <si>
    <t>Convênio: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</si>
</sst>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000"/>
    <numFmt numFmtId="165" formatCode="00"/>
    <numFmt numFmtId="166" formatCode="00000"/>
    <numFmt numFmtId="167" formatCode="00000000000"/>
  </numFmts>
  <fonts count="11" x14ac:knownFonts="1"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14"/>
      <color theme="1"/>
      <name val="Times New Roman"/>
      <family val="2"/>
    </font>
    <font>
      <u/>
      <sz val="14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1"/>
    </font>
    <font>
      <u/>
      <sz val="12"/>
      <color theme="10"/>
      <name val="Times New Roman"/>
      <family val="2"/>
    </font>
    <font>
      <b/>
      <u/>
      <sz val="18"/>
      <color theme="1"/>
      <name val="Times New Roman"/>
      <family val="1"/>
    </font>
    <font>
      <b/>
      <u/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sz val="14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73">
    <xf numFmtId="0" fontId="0" fillId="0" borderId="0" xfId="0"/>
    <xf numFmtId="0" fontId="2" fillId="0" borderId="0" xfId="0" applyFont="1"/>
    <xf numFmtId="0" fontId="0" fillId="5" borderId="0" xfId="0" applyFill="1"/>
    <xf numFmtId="165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5" fontId="0" fillId="5" borderId="0" xfId="0" applyNumberFormat="1" applyFont="1" applyFill="1" applyAlignment="1">
      <alignment horizontal="center"/>
    </xf>
    <xf numFmtId="167" fontId="0" fillId="5" borderId="0" xfId="0" applyNumberFormat="1" applyFill="1" applyAlignment="1">
      <alignment horizontal="center"/>
    </xf>
    <xf numFmtId="165" fontId="0" fillId="5" borderId="0" xfId="0" applyNumberFormat="1" applyFill="1"/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4" fontId="0" fillId="6" borderId="0" xfId="0" applyNumberForma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5" fontId="0" fillId="6" borderId="0" xfId="0" applyNumberFormat="1" applyFont="1" applyFill="1" applyBorder="1" applyAlignment="1">
      <alignment horizontal="center"/>
    </xf>
    <xf numFmtId="167" fontId="0" fillId="6" borderId="0" xfId="1" applyNumberFormat="1" applyFont="1" applyFill="1" applyBorder="1" applyAlignment="1">
      <alignment horizontal="center"/>
    </xf>
    <xf numFmtId="167" fontId="0" fillId="6" borderId="0" xfId="0" applyNumberFormat="1" applyFill="1" applyBorder="1" applyAlignment="1">
      <alignment horizontal="center"/>
    </xf>
    <xf numFmtId="14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165" fontId="0" fillId="5" borderId="0" xfId="0" applyNumberFormat="1" applyFont="1" applyFill="1" applyBorder="1" applyAlignment="1">
      <alignment horizontal="center"/>
    </xf>
    <xf numFmtId="167" fontId="0" fillId="5" borderId="0" xfId="1" applyNumberFormat="1" applyFont="1" applyFill="1" applyBorder="1" applyAlignment="1">
      <alignment horizontal="center"/>
    </xf>
    <xf numFmtId="167" fontId="0" fillId="5" borderId="0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167" fontId="0" fillId="5" borderId="0" xfId="1" applyNumberFormat="1" applyFont="1" applyFill="1" applyAlignment="1">
      <alignment horizontal="center"/>
    </xf>
    <xf numFmtId="14" fontId="0" fillId="5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4" fontId="0" fillId="0" borderId="0" xfId="0" applyNumberFormat="1" applyFill="1"/>
    <xf numFmtId="165" fontId="0" fillId="0" borderId="0" xfId="0" applyNumberFormat="1" applyFill="1"/>
    <xf numFmtId="167" fontId="0" fillId="0" borderId="0" xfId="0" applyNumberFormat="1" applyFill="1" applyAlignment="1">
      <alignment horizontal="center"/>
    </xf>
    <xf numFmtId="0" fontId="0" fillId="6" borderId="4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1" fillId="6" borderId="3" xfId="0" applyFont="1" applyFill="1" applyBorder="1" applyAlignment="1">
      <alignment horizontal="left"/>
    </xf>
    <xf numFmtId="0" fontId="1" fillId="6" borderId="7" xfId="0" applyFont="1" applyFill="1" applyBorder="1" applyAlignment="1">
      <alignment horizontal="center"/>
    </xf>
    <xf numFmtId="0" fontId="6" fillId="6" borderId="5" xfId="2" applyFill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8" xfId="0" applyFont="1" applyBorder="1" applyAlignment="1">
      <alignment horizontal="center" vertical="center"/>
    </xf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49" fontId="0" fillId="2" borderId="0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5" fillId="2" borderId="0" xfId="0" applyNumberFormat="1" applyFont="1" applyFill="1" applyBorder="1" applyAlignment="1">
      <alignment horizontal="center"/>
    </xf>
    <xf numFmtId="0" fontId="0" fillId="6" borderId="6" xfId="0" applyFont="1" applyFill="1" applyBorder="1" applyAlignment="1">
      <alignment horizontal="left"/>
    </xf>
    <xf numFmtId="49" fontId="9" fillId="0" borderId="0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4" fontId="8" fillId="0" borderId="2" xfId="0" applyNumberFormat="1" applyFont="1" applyBorder="1" applyAlignment="1">
      <alignment horizontal="right" vertical="center"/>
    </xf>
    <xf numFmtId="0" fontId="2" fillId="0" borderId="11" xfId="0" applyFont="1" applyBorder="1" applyAlignment="1">
      <alignment horizontal="center"/>
    </xf>
    <xf numFmtId="0" fontId="3" fillId="0" borderId="12" xfId="0" applyFont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/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/>
    <xf numFmtId="0" fontId="1" fillId="0" borderId="9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0" fillId="4" borderId="1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2" xfId="0" applyFont="1" applyFill="1" applyBorder="1"/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Aqui Planilh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369794</xdr:colOff>
      <xdr:row>0</xdr:row>
      <xdr:rowOff>56029</xdr:rowOff>
    </xdr:from>
    <xdr:to>
      <xdr:col>6</xdr:col>
      <xdr:colOff>224117</xdr:colOff>
      <xdr:row>1</xdr:row>
      <xdr:rowOff>112058</xdr:rowOff>
    </xdr:to>
    <xdr:sp macro="" textlink="">
      <xdr:nvSpPr>
        <xdr:cNvPr id="2" name="Retângulo Arredondado 1"/>
        <xdr:cNvSpPr/>
      </xdr:nvSpPr>
      <xdr:spPr>
        <a:xfrm>
          <a:off x="5961529" y="56029"/>
          <a:ext cx="2375647" cy="25773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392207</xdr:colOff>
      <xdr:row>0</xdr:row>
      <xdr:rowOff>56028</xdr:rowOff>
    </xdr:from>
    <xdr:to>
      <xdr:col>6</xdr:col>
      <xdr:colOff>224117</xdr:colOff>
      <xdr:row>1</xdr:row>
      <xdr:rowOff>123265</xdr:rowOff>
    </xdr:to>
    <xdr:sp macro="" textlink="">
      <xdr:nvSpPr>
        <xdr:cNvPr id="3" name="CaixaDeTexto 2">
          <a:hlinkClick xmlns:r="http://schemas.openxmlformats.org/officeDocument/2006/relationships" r:id="rId1"/>
        </xdr:cNvPr>
        <xdr:cNvSpPr txBox="1"/>
      </xdr:nvSpPr>
      <xdr:spPr>
        <a:xfrm>
          <a:off x="5983942" y="56028"/>
          <a:ext cx="2353234" cy="26894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 i="1"/>
            <a:t>Voltar aos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156883</xdr:colOff>
      <xdr:row>0</xdr:row>
      <xdr:rowOff>0</xdr:rowOff>
    </xdr:from>
    <xdr:to>
      <xdr:col>3</xdr:col>
      <xdr:colOff>2313454</xdr:colOff>
      <xdr:row>0</xdr:row>
      <xdr:rowOff>769829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79AC1E1-1E2F-4E83-A360-B75C17901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690" b="36191"/>
        <a:stretch/>
      </xdr:blipFill>
      <xdr:spPr>
        <a:xfrm>
          <a:off x="156883" y="0"/>
          <a:ext cx="2846293" cy="7698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W4"/>
  <sheetViews>
    <sheetView workbookViewId="0">
      <selection activeCell="F4" sqref="F4"/>
    </sheetView>
  </sheetViews>
  <sheetFormatPr defaultRowHeight="15.75" x14ac:dyDescent="0.25"/>
  <cols>
    <col min="1" max="1" width="30.375" style="50" bestFit="1" customWidth="1"/>
    <col min="2" max="2" width="19" style="47" bestFit="1" customWidth="1"/>
    <col min="3" max="3" width="13.75" style="47" bestFit="1" customWidth="1"/>
    <col min="4" max="4" width="10.125" style="47" bestFit="1" customWidth="1"/>
    <col min="5" max="5" width="15.125" style="47" bestFit="1" customWidth="1"/>
    <col min="6" max="6" width="18" style="47" bestFit="1" customWidth="1"/>
    <col min="7" max="7" width="24.125" style="47" bestFit="1" customWidth="1"/>
    <col min="8" max="8" width="9.875" style="47" bestFit="1" customWidth="1"/>
    <col min="9" max="9" width="16" style="47" bestFit="1" customWidth="1"/>
    <col min="10" max="10" width="23" style="47" bestFit="1" customWidth="1"/>
    <col min="11" max="11" width="14.375" style="47" bestFit="1" customWidth="1"/>
    <col min="12" max="12" width="16.625" style="47" customWidth="1"/>
    <col min="13" max="13" width="12.5" style="47" bestFit="1" customWidth="1"/>
    <col min="14" max="14" width="14.5" style="47" bestFit="1" customWidth="1"/>
    <col min="15" max="15" width="16.5" style="47" bestFit="1" customWidth="1"/>
    <col min="16" max="16" width="15.625" style="47" bestFit="1" customWidth="1"/>
    <col min="17" max="17" width="3.625" style="47" bestFit="1" customWidth="1"/>
    <col min="18" max="18" width="22.875" style="47" bestFit="1" customWidth="1"/>
    <col min="19" max="19" width="21.75" style="47" bestFit="1" customWidth="1"/>
    <col min="20" max="20" width="19.125" style="47" bestFit="1" customWidth="1"/>
    <col min="21" max="21" width="21.375" style="47" bestFit="1" customWidth="1"/>
    <col min="22" max="22" width="19.375" style="47" bestFit="1" customWidth="1"/>
    <col min="23" max="23" width="11.875" style="47" bestFit="1" customWidth="1"/>
    <col min="24" max="16384" width="9" style="47"/>
  </cols>
  <sheetData>
    <row r="1" spans="1:23" x14ac:dyDescent="0.25">
      <c r="A1" s="50" t="s">
        <v>0</v>
      </c>
      <c r="B1" s="47" t="s">
        <v>1</v>
      </c>
      <c r="C1" s="47" t="s">
        <v>2</v>
      </c>
    </row>
    <row r="2" spans="1:23" x14ac:dyDescent="0.25">
      <c r="A2" s="52" t="s">
        <v>3</v>
      </c>
      <c r="B2" s="54" t="s">
        <v>42</v>
      </c>
      <c r="C2" s="54"/>
    </row>
    <row r="3" spans="1:23" s="48" customFormat="1" x14ac:dyDescent="0.25">
      <c r="A3" s="51" t="s">
        <v>4</v>
      </c>
      <c r="B3" s="48" t="s">
        <v>5</v>
      </c>
      <c r="C3" s="48" t="s">
        <v>6</v>
      </c>
      <c r="D3" s="48" t="s">
        <v>7</v>
      </c>
      <c r="E3" s="48" t="s">
        <v>8</v>
      </c>
      <c r="F3" s="48" t="s">
        <v>9</v>
      </c>
      <c r="G3" s="48" t="s">
        <v>10</v>
      </c>
      <c r="H3" s="48" t="s">
        <v>11</v>
      </c>
      <c r="I3" s="48" t="s">
        <v>12</v>
      </c>
      <c r="J3" s="48" t="s">
        <v>13</v>
      </c>
      <c r="K3" s="48" t="s">
        <v>14</v>
      </c>
      <c r="L3" s="48" t="s">
        <v>15</v>
      </c>
      <c r="M3" s="48" t="s">
        <v>16</v>
      </c>
      <c r="N3" s="48" t="s">
        <v>17</v>
      </c>
      <c r="O3" s="48" t="s">
        <v>18</v>
      </c>
      <c r="P3" s="48" t="s">
        <v>19</v>
      </c>
      <c r="Q3" s="48" t="s">
        <v>20</v>
      </c>
      <c r="R3" s="48" t="s">
        <v>21</v>
      </c>
      <c r="S3" s="48" t="s">
        <v>22</v>
      </c>
      <c r="T3" s="48" t="s">
        <v>23</v>
      </c>
      <c r="U3" s="48" t="s">
        <v>24</v>
      </c>
      <c r="V3" s="48" t="s">
        <v>25</v>
      </c>
      <c r="W3" s="48" t="s">
        <v>26</v>
      </c>
    </row>
    <row r="4" spans="1:23" ht="16.5" customHeight="1" x14ac:dyDescent="0.25">
      <c r="A4" s="50" t="s">
        <v>31</v>
      </c>
      <c r="B4" s="47" t="s">
        <v>32</v>
      </c>
      <c r="C4" s="47" t="s">
        <v>27</v>
      </c>
      <c r="D4" s="47" t="s">
        <v>33</v>
      </c>
      <c r="E4" s="47" t="s">
        <v>40</v>
      </c>
      <c r="F4" s="47" t="s">
        <v>34</v>
      </c>
      <c r="G4" s="47" t="s">
        <v>35</v>
      </c>
      <c r="H4" s="47">
        <v>1</v>
      </c>
      <c r="J4" s="47" t="s">
        <v>36</v>
      </c>
      <c r="K4" s="47" t="s">
        <v>37</v>
      </c>
      <c r="L4" s="47" t="s">
        <v>39</v>
      </c>
      <c r="M4" s="47">
        <v>5999939</v>
      </c>
      <c r="N4" s="47" t="s">
        <v>32</v>
      </c>
      <c r="O4" s="47" t="s">
        <v>38</v>
      </c>
      <c r="P4" s="47" t="s">
        <v>37</v>
      </c>
      <c r="Q4" s="47">
        <v>5</v>
      </c>
      <c r="R4" s="47" t="s">
        <v>31</v>
      </c>
      <c r="S4" s="49" t="s">
        <v>39</v>
      </c>
      <c r="T4" s="47">
        <v>748</v>
      </c>
      <c r="U4" s="47">
        <v>313</v>
      </c>
      <c r="V4" s="47">
        <v>438618</v>
      </c>
      <c r="W4" s="47">
        <v>1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W50"/>
  <sheetViews>
    <sheetView workbookViewId="0">
      <selection activeCell="T7" sqref="T7"/>
    </sheetView>
  </sheetViews>
  <sheetFormatPr defaultRowHeight="15.75" x14ac:dyDescent="0.25"/>
  <cols>
    <col min="1" max="1" width="30.375" style="27" bestFit="1" customWidth="1"/>
    <col min="2" max="2" width="19" style="28" bestFit="1" customWidth="1"/>
    <col min="3" max="3" width="13.75" style="28" bestFit="1" customWidth="1"/>
    <col min="4" max="4" width="10.125" style="27" bestFit="1" customWidth="1"/>
    <col min="5" max="5" width="15.125" style="27" bestFit="1" customWidth="1"/>
    <col min="6" max="6" width="18" style="27" bestFit="1" customWidth="1"/>
    <col min="7" max="7" width="24.125" style="27" bestFit="1" customWidth="1"/>
    <col min="8" max="8" width="9.875" style="27" bestFit="1" customWidth="1"/>
    <col min="9" max="9" width="16" style="27" bestFit="1" customWidth="1"/>
    <col min="10" max="10" width="23" style="27" bestFit="1" customWidth="1"/>
    <col min="11" max="11" width="14.375" style="27" bestFit="1" customWidth="1"/>
    <col min="12" max="12" width="13.5" style="27" bestFit="1" customWidth="1"/>
    <col min="13" max="13" width="12.5" style="27" bestFit="1" customWidth="1"/>
    <col min="14" max="14" width="14.5" style="27" bestFit="1" customWidth="1"/>
    <col min="15" max="15" width="16.5" style="27" bestFit="1" customWidth="1"/>
    <col min="16" max="16" width="15.625" style="27" bestFit="1" customWidth="1"/>
    <col min="17" max="17" width="3.625" style="27" bestFit="1" customWidth="1"/>
    <col min="18" max="18" width="22.875" style="27" bestFit="1" customWidth="1"/>
    <col min="19" max="19" width="21.75" style="27" bestFit="1" customWidth="1"/>
    <col min="20" max="20" width="19.125" style="27" bestFit="1" customWidth="1"/>
    <col min="21" max="21" width="21.375" style="27" bestFit="1" customWidth="1"/>
    <col min="22" max="22" width="19.375" style="27" bestFit="1" customWidth="1"/>
    <col min="23" max="23" width="11.875" style="27" bestFit="1" customWidth="1"/>
    <col min="24" max="16384" width="9" style="27"/>
  </cols>
  <sheetData>
    <row r="1" spans="1:23" x14ac:dyDescent="0.25">
      <c r="A1" s="27" t="s">
        <v>0</v>
      </c>
      <c r="B1" s="28" t="s">
        <v>1</v>
      </c>
      <c r="C1" s="28" t="s">
        <v>2</v>
      </c>
    </row>
    <row r="2" spans="1:23" x14ac:dyDescent="0.25">
      <c r="B2" s="29"/>
      <c r="C2" s="30"/>
    </row>
    <row r="3" spans="1:23" x14ac:dyDescent="0.25">
      <c r="A3" s="27" t="s">
        <v>4</v>
      </c>
      <c r="B3" s="28" t="s">
        <v>5</v>
      </c>
      <c r="C3" s="28" t="s">
        <v>6</v>
      </c>
      <c r="D3" s="27" t="s">
        <v>7</v>
      </c>
      <c r="E3" s="27" t="s">
        <v>8</v>
      </c>
      <c r="F3" s="27" t="s">
        <v>9</v>
      </c>
      <c r="G3" s="27" t="s">
        <v>10</v>
      </c>
      <c r="H3" s="27" t="s">
        <v>11</v>
      </c>
      <c r="I3" s="27" t="s">
        <v>12</v>
      </c>
      <c r="J3" s="27" t="s">
        <v>13</v>
      </c>
      <c r="K3" s="27" t="s">
        <v>14</v>
      </c>
      <c r="L3" s="27" t="s">
        <v>15</v>
      </c>
      <c r="M3" s="27" t="s">
        <v>16</v>
      </c>
      <c r="N3" s="27" t="s">
        <v>17</v>
      </c>
      <c r="O3" s="27" t="s">
        <v>18</v>
      </c>
      <c r="P3" s="27" t="s">
        <v>19</v>
      </c>
      <c r="Q3" s="27" t="s">
        <v>20</v>
      </c>
      <c r="R3" s="27" t="s">
        <v>21</v>
      </c>
      <c r="S3" s="27" t="s">
        <v>22</v>
      </c>
      <c r="T3" s="27" t="s">
        <v>23</v>
      </c>
      <c r="U3" s="27" t="s">
        <v>24</v>
      </c>
      <c r="V3" s="27" t="s">
        <v>25</v>
      </c>
      <c r="W3" s="27" t="s">
        <v>26</v>
      </c>
    </row>
    <row r="4" spans="1:23" x14ac:dyDescent="0.25">
      <c r="B4" s="31"/>
      <c r="D4" s="32"/>
      <c r="H4" s="33"/>
      <c r="L4" s="34">
        <f>VALUE(SUBSTITUTE(SUBSTITUTE(SUBSTITUTE(SUBSTITUTE('Aqui Planilha'!L4, ".", ""), "-",""), ";", ""), ":", ""))</f>
        <v>546546515</v>
      </c>
      <c r="M4" s="32"/>
      <c r="N4" s="35"/>
      <c r="Q4" s="36"/>
      <c r="S4" s="34">
        <f>VALUE(SUBSTITUTE(SUBSTITUTE(SUBSTITUTE(SUBSTITUTE('Aqui Planilha'!S4, ".", ""), "-",""), ";", ""), ":", ""))</f>
        <v>546546515</v>
      </c>
      <c r="T4" s="37"/>
      <c r="U4" s="37"/>
      <c r="V4" s="37"/>
      <c r="W4" s="30"/>
    </row>
    <row r="5" spans="1:23" x14ac:dyDescent="0.25">
      <c r="B5" s="31"/>
      <c r="D5" s="32"/>
      <c r="H5" s="33"/>
      <c r="L5" s="34" t="e">
        <f>VALUE(SUBSTITUTE(SUBSTITUTE(SUBSTITUTE(SUBSTITUTE('Aqui Planilha'!L5, ".", ""), "-",""), ";", ""), ":", ""))</f>
        <v>#VALUE!</v>
      </c>
      <c r="M5" s="32"/>
      <c r="N5" s="35"/>
      <c r="Q5" s="36"/>
      <c r="R5" s="27" t="str">
        <f>UPPER(ACENTO('Aqui Planilha'!R5))</f>
        <v/>
      </c>
      <c r="S5" s="34" t="e">
        <f>VALUE(SUBSTITUTE(SUBSTITUTE(SUBSTITUTE(SUBSTITUTE('Aqui Planilha'!S5, ".", ""), "-",""), ";", ""), ":", ""))</f>
        <v>#VALUE!</v>
      </c>
      <c r="T5" s="37" t="str">
        <f>SUBSTITUTE(SUBSTITUTE(SUBSTITUTE(SUBSTITUTE('Aqui Planilha'!T5, ".", ""), "-",""), ";", ""), ":", "")</f>
        <v/>
      </c>
      <c r="U5" s="37" t="str">
        <f>SUBSTITUTE(SUBSTITUTE(SUBSTITUTE(SUBSTITUTE('Aqui Planilha'!U5, ".", ""), "-",""), ";", ""), ":", "")</f>
        <v/>
      </c>
      <c r="V5" s="37" t="str">
        <f>SUBSTITUTE(SUBSTITUTE(SUBSTITUTE(SUBSTITUTE('Aqui Planilha'!V5, ".", ""), "-",""), ";", ""), ":", "")</f>
        <v/>
      </c>
      <c r="W5" s="30" t="str">
        <f>SUBSTITUTE(SUBSTITUTE(SUBSTITUTE(SUBSTITUTE('Aqui Planilha'!W5, ".", ""), "-",""), ";", ""), ":", "")</f>
        <v/>
      </c>
    </row>
    <row r="6" spans="1:23" x14ac:dyDescent="0.25">
      <c r="B6" s="31"/>
      <c r="D6" s="32"/>
      <c r="H6" s="33"/>
      <c r="L6" s="34" t="e">
        <f>VALUE(SUBSTITUTE(SUBSTITUTE(SUBSTITUTE(SUBSTITUTE('Aqui Planilha'!L6, ".", ""), "-",""), ";", ""), ":", ""))</f>
        <v>#VALUE!</v>
      </c>
      <c r="M6" s="32"/>
      <c r="N6" s="35"/>
      <c r="Q6" s="36"/>
      <c r="R6" s="27" t="str">
        <f>UPPER(ACENTO('Aqui Planilha'!R6))</f>
        <v/>
      </c>
      <c r="S6" s="34" t="e">
        <f>VALUE(SUBSTITUTE(SUBSTITUTE(SUBSTITUTE(SUBSTITUTE('Aqui Planilha'!S6, ".", ""), "-",""), ";", ""), ":", ""))</f>
        <v>#VALUE!</v>
      </c>
      <c r="T6" s="37" t="str">
        <f>SUBSTITUTE(SUBSTITUTE(SUBSTITUTE(SUBSTITUTE('Aqui Planilha'!T6, ".", ""), "-",""), ";", ""), ":", "")</f>
        <v/>
      </c>
      <c r="U6" s="37" t="str">
        <f>SUBSTITUTE(SUBSTITUTE(SUBSTITUTE(SUBSTITUTE('Aqui Planilha'!U6, ".", ""), "-",""), ";", ""), ":", "")</f>
        <v/>
      </c>
      <c r="V6" s="37" t="str">
        <f>SUBSTITUTE(SUBSTITUTE(SUBSTITUTE(SUBSTITUTE('Aqui Planilha'!V6, ".", ""), "-",""), ";", ""), ":", "")</f>
        <v/>
      </c>
      <c r="W6" s="30" t="str">
        <f>SUBSTITUTE(SUBSTITUTE(SUBSTITUTE(SUBSTITUTE('Aqui Planilha'!W6, ".", ""), "-",""), ";", ""), ":", "")</f>
        <v/>
      </c>
    </row>
    <row r="7" spans="1:23" x14ac:dyDescent="0.25">
      <c r="B7" s="31"/>
      <c r="D7" s="32"/>
      <c r="H7" s="33"/>
      <c r="L7" s="34" t="e">
        <f>VALUE(SUBSTITUTE(SUBSTITUTE(SUBSTITUTE(SUBSTITUTE('Aqui Planilha'!L7, ".", ""), "-",""), ";", ""), ":", ""))</f>
        <v>#VALUE!</v>
      </c>
      <c r="M7" s="32"/>
      <c r="N7" s="35"/>
      <c r="Q7" s="36"/>
      <c r="R7" s="27" t="str">
        <f>UPPER(ACENTO('Aqui Planilha'!R7))</f>
        <v/>
      </c>
      <c r="S7" s="34" t="e">
        <f>VALUE(SUBSTITUTE(SUBSTITUTE(SUBSTITUTE(SUBSTITUTE('Aqui Planilha'!S7, ".", ""), "-",""), ";", ""), ":", ""))</f>
        <v>#VALUE!</v>
      </c>
      <c r="T7" s="37" t="str">
        <f>SUBSTITUTE(SUBSTITUTE(SUBSTITUTE(SUBSTITUTE('Aqui Planilha'!T7, ".", ""), "-",""), ";", ""), ":", "")</f>
        <v/>
      </c>
      <c r="U7" s="37" t="str">
        <f>SUBSTITUTE(SUBSTITUTE(SUBSTITUTE(SUBSTITUTE('Aqui Planilha'!U7, ".", ""), "-",""), ";", ""), ":", "")</f>
        <v/>
      </c>
      <c r="V7" s="37" t="str">
        <f>SUBSTITUTE(SUBSTITUTE(SUBSTITUTE(SUBSTITUTE('Aqui Planilha'!V7, ".", ""), "-",""), ";", ""), ":", "")</f>
        <v/>
      </c>
      <c r="W7" s="30" t="str">
        <f>SUBSTITUTE(SUBSTITUTE(SUBSTITUTE(SUBSTITUTE('Aqui Planilha'!W7, ".", ""), "-",""), ";", ""), ":", "")</f>
        <v/>
      </c>
    </row>
    <row r="8" spans="1:23" x14ac:dyDescent="0.25">
      <c r="B8" s="31"/>
      <c r="D8" s="32"/>
      <c r="H8" s="33"/>
      <c r="L8" s="34" t="e">
        <f>VALUE(SUBSTITUTE(SUBSTITUTE(SUBSTITUTE(SUBSTITUTE('Aqui Planilha'!L8, ".", ""), "-",""), ";", ""), ":", ""))</f>
        <v>#VALUE!</v>
      </c>
      <c r="M8" s="32"/>
      <c r="N8" s="35"/>
      <c r="Q8" s="36"/>
      <c r="R8" s="27" t="str">
        <f>UPPER(ACENTO('Aqui Planilha'!R8))</f>
        <v/>
      </c>
      <c r="S8" s="34" t="e">
        <f>VALUE(SUBSTITUTE(SUBSTITUTE(SUBSTITUTE(SUBSTITUTE('Aqui Planilha'!S8, ".", ""), "-",""), ";", ""), ":", ""))</f>
        <v>#VALUE!</v>
      </c>
      <c r="T8" s="37" t="str">
        <f>SUBSTITUTE(SUBSTITUTE(SUBSTITUTE(SUBSTITUTE('Aqui Planilha'!T8, ".", ""), "-",""), ";", ""), ":", "")</f>
        <v/>
      </c>
      <c r="U8" s="37" t="str">
        <f>SUBSTITUTE(SUBSTITUTE(SUBSTITUTE(SUBSTITUTE('Aqui Planilha'!U8, ".", ""), "-",""), ";", ""), ":", "")</f>
        <v/>
      </c>
      <c r="V8" s="37" t="str">
        <f>SUBSTITUTE(SUBSTITUTE(SUBSTITUTE(SUBSTITUTE('Aqui Planilha'!V8, ".", ""), "-",""), ";", ""), ":", "")</f>
        <v/>
      </c>
      <c r="W8" s="30" t="str">
        <f>SUBSTITUTE(SUBSTITUTE(SUBSTITUTE(SUBSTITUTE('Aqui Planilha'!W8, ".", ""), "-",""), ";", ""), ":", "")</f>
        <v/>
      </c>
    </row>
    <row r="9" spans="1:23" x14ac:dyDescent="0.25">
      <c r="B9" s="31"/>
      <c r="D9" s="32"/>
      <c r="H9" s="33"/>
      <c r="L9" s="34" t="e">
        <f>VALUE(SUBSTITUTE(SUBSTITUTE(SUBSTITUTE(SUBSTITUTE('Aqui Planilha'!L9, ".", ""), "-",""), ";", ""), ":", ""))</f>
        <v>#VALUE!</v>
      </c>
      <c r="M9" s="32"/>
      <c r="N9" s="35"/>
      <c r="Q9" s="36"/>
      <c r="R9" s="27" t="str">
        <f>UPPER(ACENTO('Aqui Planilha'!R9))</f>
        <v/>
      </c>
      <c r="S9" s="34" t="e">
        <f>VALUE(SUBSTITUTE(SUBSTITUTE(SUBSTITUTE(SUBSTITUTE('Aqui Planilha'!S9, ".", ""), "-",""), ";", ""), ":", ""))</f>
        <v>#VALUE!</v>
      </c>
      <c r="T9" s="37" t="str">
        <f>SUBSTITUTE(SUBSTITUTE(SUBSTITUTE(SUBSTITUTE('Aqui Planilha'!T9, ".", ""), "-",""), ";", ""), ":", "")</f>
        <v/>
      </c>
      <c r="U9" s="37" t="str">
        <f>SUBSTITUTE(SUBSTITUTE(SUBSTITUTE(SUBSTITUTE('Aqui Planilha'!U9, ".", ""), "-",""), ";", ""), ":", "")</f>
        <v/>
      </c>
      <c r="V9" s="37" t="str">
        <f>SUBSTITUTE(SUBSTITUTE(SUBSTITUTE(SUBSTITUTE('Aqui Planilha'!V9, ".", ""), "-",""), ";", ""), ":", "")</f>
        <v/>
      </c>
      <c r="W9" s="30" t="str">
        <f>SUBSTITUTE(SUBSTITUTE(SUBSTITUTE(SUBSTITUTE('Aqui Planilha'!W9, ".", ""), "-",""), ";", ""), ":", "")</f>
        <v/>
      </c>
    </row>
    <row r="10" spans="1:23" x14ac:dyDescent="0.25">
      <c r="B10" s="31"/>
      <c r="D10" s="32"/>
      <c r="H10" s="33"/>
      <c r="L10" s="34" t="e">
        <f>VALUE(SUBSTITUTE(SUBSTITUTE(SUBSTITUTE(SUBSTITUTE('Aqui Planilha'!L10, ".", ""), "-",""), ";", ""), ":", ""))</f>
        <v>#VALUE!</v>
      </c>
      <c r="M10" s="32"/>
      <c r="N10" s="35"/>
      <c r="Q10" s="36"/>
      <c r="R10" s="27" t="str">
        <f>UPPER(ACENTO('Aqui Planilha'!R10))</f>
        <v/>
      </c>
      <c r="S10" s="34" t="e">
        <f>VALUE(SUBSTITUTE(SUBSTITUTE(SUBSTITUTE(SUBSTITUTE('Aqui Planilha'!S10, ".", ""), "-",""), ";", ""), ":", ""))</f>
        <v>#VALUE!</v>
      </c>
      <c r="T10" s="37" t="str">
        <f>SUBSTITUTE(SUBSTITUTE(SUBSTITUTE(SUBSTITUTE('Aqui Planilha'!T10, ".", ""), "-",""), ";", ""), ":", "")</f>
        <v/>
      </c>
      <c r="U10" s="37" t="str">
        <f>SUBSTITUTE(SUBSTITUTE(SUBSTITUTE(SUBSTITUTE('Aqui Planilha'!U10, ".", ""), "-",""), ";", ""), ":", "")</f>
        <v/>
      </c>
      <c r="V10" s="37" t="str">
        <f>SUBSTITUTE(SUBSTITUTE(SUBSTITUTE(SUBSTITUTE('Aqui Planilha'!V10, ".", ""), "-",""), ";", ""), ":", "")</f>
        <v/>
      </c>
      <c r="W10" s="30" t="str">
        <f>SUBSTITUTE(SUBSTITUTE(SUBSTITUTE(SUBSTITUTE('Aqui Planilha'!W10, ".", ""), "-",""), ";", ""), ":", "")</f>
        <v/>
      </c>
    </row>
    <row r="11" spans="1:23" x14ac:dyDescent="0.25">
      <c r="B11" s="31"/>
      <c r="D11" s="32"/>
      <c r="H11" s="33"/>
      <c r="L11" s="34" t="e">
        <f>VALUE(SUBSTITUTE(SUBSTITUTE(SUBSTITUTE(SUBSTITUTE('Aqui Planilha'!L11, ".", ""), "-",""), ";", ""), ":", ""))</f>
        <v>#VALUE!</v>
      </c>
      <c r="M11" s="32"/>
      <c r="N11" s="35"/>
      <c r="Q11" s="36"/>
      <c r="R11" s="27" t="str">
        <f>UPPER(ACENTO('Aqui Planilha'!R11))</f>
        <v/>
      </c>
      <c r="S11" s="34" t="e">
        <f>VALUE(SUBSTITUTE(SUBSTITUTE(SUBSTITUTE(SUBSTITUTE('Aqui Planilha'!S11, ".", ""), "-",""), ";", ""), ":", ""))</f>
        <v>#VALUE!</v>
      </c>
      <c r="T11" s="37" t="str">
        <f>SUBSTITUTE(SUBSTITUTE(SUBSTITUTE(SUBSTITUTE('Aqui Planilha'!T11, ".", ""), "-",""), ";", ""), ":", "")</f>
        <v/>
      </c>
      <c r="U11" s="37" t="str">
        <f>SUBSTITUTE(SUBSTITUTE(SUBSTITUTE(SUBSTITUTE('Aqui Planilha'!U11, ".", ""), "-",""), ";", ""), ":", "")</f>
        <v/>
      </c>
      <c r="V11" s="37" t="str">
        <f>SUBSTITUTE(SUBSTITUTE(SUBSTITUTE(SUBSTITUTE('Aqui Planilha'!V11, ".", ""), "-",""), ";", ""), ":", "")</f>
        <v/>
      </c>
      <c r="W11" s="30" t="str">
        <f>SUBSTITUTE(SUBSTITUTE(SUBSTITUTE(SUBSTITUTE('Aqui Planilha'!W11, ".", ""), "-",""), ";", ""), ":", "")</f>
        <v/>
      </c>
    </row>
    <row r="12" spans="1:23" x14ac:dyDescent="0.25">
      <c r="B12" s="31"/>
      <c r="D12" s="32"/>
      <c r="H12" s="33"/>
      <c r="L12" s="34" t="e">
        <f>VALUE(SUBSTITUTE(SUBSTITUTE(SUBSTITUTE(SUBSTITUTE('Aqui Planilha'!L12, ".", ""), "-",""), ";", ""), ":", ""))</f>
        <v>#VALUE!</v>
      </c>
      <c r="M12" s="32"/>
      <c r="N12" s="35"/>
      <c r="Q12" s="36"/>
      <c r="R12" s="27" t="str">
        <f>UPPER(ACENTO('Aqui Planilha'!R12))</f>
        <v/>
      </c>
      <c r="S12" s="34" t="e">
        <f>VALUE(SUBSTITUTE(SUBSTITUTE(SUBSTITUTE(SUBSTITUTE('Aqui Planilha'!S12, ".", ""), "-",""), ";", ""), ":", ""))</f>
        <v>#VALUE!</v>
      </c>
      <c r="T12" s="37" t="str">
        <f>SUBSTITUTE(SUBSTITUTE(SUBSTITUTE(SUBSTITUTE('Aqui Planilha'!T12, ".", ""), "-",""), ";", ""), ":", "")</f>
        <v/>
      </c>
      <c r="U12" s="37" t="str">
        <f>SUBSTITUTE(SUBSTITUTE(SUBSTITUTE(SUBSTITUTE('Aqui Planilha'!U12, ".", ""), "-",""), ";", ""), ":", "")</f>
        <v/>
      </c>
      <c r="V12" s="37" t="str">
        <f>SUBSTITUTE(SUBSTITUTE(SUBSTITUTE(SUBSTITUTE('Aqui Planilha'!V12, ".", ""), "-",""), ";", ""), ":", "")</f>
        <v/>
      </c>
      <c r="W12" s="30" t="str">
        <f>SUBSTITUTE(SUBSTITUTE(SUBSTITUTE(SUBSTITUTE('Aqui Planilha'!W12, ".", ""), "-",""), ";", ""), ":", "")</f>
        <v/>
      </c>
    </row>
    <row r="13" spans="1:23" x14ac:dyDescent="0.25">
      <c r="B13" s="31"/>
      <c r="D13" s="32"/>
      <c r="H13" s="33"/>
      <c r="L13" s="34" t="e">
        <f>VALUE(SUBSTITUTE(SUBSTITUTE(SUBSTITUTE(SUBSTITUTE('Aqui Planilha'!L13, ".", ""), "-",""), ";", ""), ":", ""))</f>
        <v>#VALUE!</v>
      </c>
      <c r="M13" s="32"/>
      <c r="N13" s="35"/>
      <c r="Q13" s="36"/>
      <c r="R13" s="27" t="str">
        <f>UPPER(ACENTO('Aqui Planilha'!R13))</f>
        <v/>
      </c>
      <c r="S13" s="34" t="e">
        <f>VALUE(SUBSTITUTE(SUBSTITUTE(SUBSTITUTE(SUBSTITUTE('Aqui Planilha'!S13, ".", ""), "-",""), ";", ""), ":", ""))</f>
        <v>#VALUE!</v>
      </c>
      <c r="T13" s="37" t="str">
        <f>SUBSTITUTE(SUBSTITUTE(SUBSTITUTE(SUBSTITUTE('Aqui Planilha'!T13, ".", ""), "-",""), ";", ""), ":", "")</f>
        <v/>
      </c>
      <c r="U13" s="37" t="str">
        <f>SUBSTITUTE(SUBSTITUTE(SUBSTITUTE(SUBSTITUTE('Aqui Planilha'!U13, ".", ""), "-",""), ";", ""), ":", "")</f>
        <v/>
      </c>
      <c r="V13" s="37" t="str">
        <f>SUBSTITUTE(SUBSTITUTE(SUBSTITUTE(SUBSTITUTE('Aqui Planilha'!V13, ".", ""), "-",""), ";", ""), ":", "")</f>
        <v/>
      </c>
      <c r="W13" s="30" t="str">
        <f>SUBSTITUTE(SUBSTITUTE(SUBSTITUTE(SUBSTITUTE('Aqui Planilha'!W13, ".", ""), "-",""), ";", ""), ":", "")</f>
        <v/>
      </c>
    </row>
    <row r="14" spans="1:23" x14ac:dyDescent="0.25">
      <c r="B14" s="31"/>
      <c r="D14" s="32"/>
      <c r="H14" s="33"/>
      <c r="L14" s="34" t="e">
        <f>VALUE(SUBSTITUTE(SUBSTITUTE(SUBSTITUTE(SUBSTITUTE('Aqui Planilha'!L14, ".", ""), "-",""), ";", ""), ":", ""))</f>
        <v>#VALUE!</v>
      </c>
      <c r="M14" s="32"/>
      <c r="N14" s="35"/>
      <c r="Q14" s="36"/>
      <c r="R14" s="27" t="str">
        <f>UPPER(ACENTO('Aqui Planilha'!R14))</f>
        <v/>
      </c>
      <c r="S14" s="34" t="e">
        <f>VALUE(SUBSTITUTE(SUBSTITUTE(SUBSTITUTE(SUBSTITUTE('Aqui Planilha'!S14, ".", ""), "-",""), ";", ""), ":", ""))</f>
        <v>#VALUE!</v>
      </c>
      <c r="T14" s="37" t="str">
        <f>SUBSTITUTE(SUBSTITUTE(SUBSTITUTE(SUBSTITUTE('Aqui Planilha'!T14, ".", ""), "-",""), ";", ""), ":", "")</f>
        <v/>
      </c>
      <c r="U14" s="37" t="str">
        <f>SUBSTITUTE(SUBSTITUTE(SUBSTITUTE(SUBSTITUTE('Aqui Planilha'!U14, ".", ""), "-",""), ";", ""), ":", "")</f>
        <v/>
      </c>
      <c r="V14" s="37" t="str">
        <f>SUBSTITUTE(SUBSTITUTE(SUBSTITUTE(SUBSTITUTE('Aqui Planilha'!V14, ".", ""), "-",""), ";", ""), ":", "")</f>
        <v/>
      </c>
      <c r="W14" s="30" t="str">
        <f>SUBSTITUTE(SUBSTITUTE(SUBSTITUTE(SUBSTITUTE('Aqui Planilha'!W14, ".", ""), "-",""), ";", ""), ":", "")</f>
        <v/>
      </c>
    </row>
    <row r="15" spans="1:23" x14ac:dyDescent="0.25">
      <c r="B15" s="31"/>
      <c r="D15" s="32"/>
      <c r="H15" s="33"/>
      <c r="L15" s="34" t="e">
        <f>VALUE(SUBSTITUTE(SUBSTITUTE(SUBSTITUTE(SUBSTITUTE('Aqui Planilha'!L15, ".", ""), "-",""), ";", ""), ":", ""))</f>
        <v>#VALUE!</v>
      </c>
      <c r="M15" s="32"/>
      <c r="N15" s="35"/>
      <c r="Q15" s="36"/>
      <c r="R15" s="27" t="str">
        <f>UPPER(ACENTO('Aqui Planilha'!R15))</f>
        <v/>
      </c>
      <c r="S15" s="34" t="e">
        <f>VALUE(SUBSTITUTE(SUBSTITUTE(SUBSTITUTE(SUBSTITUTE('Aqui Planilha'!S15, ".", ""), "-",""), ";", ""), ":", ""))</f>
        <v>#VALUE!</v>
      </c>
      <c r="T15" s="37" t="str">
        <f>SUBSTITUTE(SUBSTITUTE(SUBSTITUTE(SUBSTITUTE('Aqui Planilha'!T15, ".", ""), "-",""), ";", ""), ":", "")</f>
        <v/>
      </c>
      <c r="U15" s="37" t="str">
        <f>SUBSTITUTE(SUBSTITUTE(SUBSTITUTE(SUBSTITUTE('Aqui Planilha'!U15, ".", ""), "-",""), ";", ""), ":", "")</f>
        <v/>
      </c>
      <c r="V15" s="37" t="str">
        <f>SUBSTITUTE(SUBSTITUTE(SUBSTITUTE(SUBSTITUTE('Aqui Planilha'!V15, ".", ""), "-",""), ";", ""), ":", "")</f>
        <v/>
      </c>
      <c r="W15" s="30" t="str">
        <f>SUBSTITUTE(SUBSTITUTE(SUBSTITUTE(SUBSTITUTE('Aqui Planilha'!W15, ".", ""), "-",""), ";", ""), ":", "")</f>
        <v/>
      </c>
    </row>
    <row r="16" spans="1:23" x14ac:dyDescent="0.25">
      <c r="B16" s="31"/>
      <c r="D16" s="32"/>
      <c r="H16" s="33"/>
      <c r="L16" s="34" t="e">
        <f>VALUE(SUBSTITUTE(SUBSTITUTE(SUBSTITUTE(SUBSTITUTE('Aqui Planilha'!L16, ".", ""), "-",""), ";", ""), ":", ""))</f>
        <v>#VALUE!</v>
      </c>
      <c r="M16" s="32"/>
      <c r="N16" s="35"/>
      <c r="Q16" s="36"/>
      <c r="R16" s="27" t="str">
        <f>UPPER(ACENTO('Aqui Planilha'!R16))</f>
        <v/>
      </c>
      <c r="S16" s="34" t="e">
        <f>VALUE(SUBSTITUTE(SUBSTITUTE(SUBSTITUTE(SUBSTITUTE('Aqui Planilha'!S16, ".", ""), "-",""), ";", ""), ":", ""))</f>
        <v>#VALUE!</v>
      </c>
      <c r="T16" s="37" t="str">
        <f>SUBSTITUTE(SUBSTITUTE(SUBSTITUTE(SUBSTITUTE('Aqui Planilha'!T16, ".", ""), "-",""), ";", ""), ":", "")</f>
        <v/>
      </c>
      <c r="U16" s="37" t="str">
        <f>SUBSTITUTE(SUBSTITUTE(SUBSTITUTE(SUBSTITUTE('Aqui Planilha'!U16, ".", ""), "-",""), ";", ""), ":", "")</f>
        <v/>
      </c>
      <c r="V16" s="37" t="str">
        <f>SUBSTITUTE(SUBSTITUTE(SUBSTITUTE(SUBSTITUTE('Aqui Planilha'!V16, ".", ""), "-",""), ";", ""), ":", "")</f>
        <v/>
      </c>
      <c r="W16" s="30" t="str">
        <f>SUBSTITUTE(SUBSTITUTE(SUBSTITUTE(SUBSTITUTE('Aqui Planilha'!W16, ".", ""), "-",""), ";", ""), ":", "")</f>
        <v/>
      </c>
    </row>
    <row r="17" spans="2:23" x14ac:dyDescent="0.25">
      <c r="B17" s="31"/>
      <c r="D17" s="32"/>
      <c r="H17" s="33"/>
      <c r="L17" s="34" t="e">
        <f>VALUE(SUBSTITUTE(SUBSTITUTE(SUBSTITUTE(SUBSTITUTE('Aqui Planilha'!L17, ".", ""), "-",""), ";", ""), ":", ""))</f>
        <v>#VALUE!</v>
      </c>
      <c r="M17" s="32"/>
      <c r="N17" s="35"/>
      <c r="Q17" s="36"/>
      <c r="R17" s="27" t="str">
        <f>UPPER(ACENTO('Aqui Planilha'!R17))</f>
        <v/>
      </c>
      <c r="S17" s="34" t="e">
        <f>VALUE(SUBSTITUTE(SUBSTITUTE(SUBSTITUTE(SUBSTITUTE('Aqui Planilha'!S17, ".", ""), "-",""), ";", ""), ":", ""))</f>
        <v>#VALUE!</v>
      </c>
      <c r="T17" s="37" t="str">
        <f>SUBSTITUTE(SUBSTITUTE(SUBSTITUTE(SUBSTITUTE('Aqui Planilha'!T17, ".", ""), "-",""), ";", ""), ":", "")</f>
        <v/>
      </c>
      <c r="U17" s="37" t="str">
        <f>SUBSTITUTE(SUBSTITUTE(SUBSTITUTE(SUBSTITUTE('Aqui Planilha'!U17, ".", ""), "-",""), ";", ""), ":", "")</f>
        <v/>
      </c>
      <c r="V17" s="37" t="str">
        <f>SUBSTITUTE(SUBSTITUTE(SUBSTITUTE(SUBSTITUTE('Aqui Planilha'!V17, ".", ""), "-",""), ";", ""), ":", "")</f>
        <v/>
      </c>
      <c r="W17" s="30" t="str">
        <f>SUBSTITUTE(SUBSTITUTE(SUBSTITUTE(SUBSTITUTE('Aqui Planilha'!W17, ".", ""), "-",""), ";", ""), ":", "")</f>
        <v/>
      </c>
    </row>
    <row r="18" spans="2:23" x14ac:dyDescent="0.25">
      <c r="B18" s="31"/>
      <c r="D18" s="32"/>
      <c r="H18" s="33"/>
      <c r="L18" s="34" t="e">
        <f>VALUE(SUBSTITUTE(SUBSTITUTE(SUBSTITUTE(SUBSTITUTE('Aqui Planilha'!L18, ".", ""), "-",""), ";", ""), ":", ""))</f>
        <v>#VALUE!</v>
      </c>
      <c r="M18" s="32"/>
      <c r="N18" s="35"/>
      <c r="Q18" s="36"/>
      <c r="R18" s="27" t="str">
        <f>UPPER(ACENTO('Aqui Planilha'!R18))</f>
        <v/>
      </c>
      <c r="S18" s="34" t="e">
        <f>VALUE(SUBSTITUTE(SUBSTITUTE(SUBSTITUTE(SUBSTITUTE('Aqui Planilha'!S18, ".", ""), "-",""), ";", ""), ":", ""))</f>
        <v>#VALUE!</v>
      </c>
      <c r="T18" s="37" t="str">
        <f>SUBSTITUTE(SUBSTITUTE(SUBSTITUTE(SUBSTITUTE('Aqui Planilha'!T18, ".", ""), "-",""), ";", ""), ":", "")</f>
        <v/>
      </c>
      <c r="U18" s="37" t="str">
        <f>SUBSTITUTE(SUBSTITUTE(SUBSTITUTE(SUBSTITUTE('Aqui Planilha'!U18, ".", ""), "-",""), ";", ""), ":", "")</f>
        <v/>
      </c>
      <c r="V18" s="37" t="str">
        <f>SUBSTITUTE(SUBSTITUTE(SUBSTITUTE(SUBSTITUTE('Aqui Planilha'!V18, ".", ""), "-",""), ";", ""), ":", "")</f>
        <v/>
      </c>
      <c r="W18" s="30" t="str">
        <f>SUBSTITUTE(SUBSTITUTE(SUBSTITUTE(SUBSTITUTE('Aqui Planilha'!W18, ".", ""), "-",""), ";", ""), ":", "")</f>
        <v/>
      </c>
    </row>
    <row r="19" spans="2:23" x14ac:dyDescent="0.25">
      <c r="B19" s="31"/>
      <c r="D19" s="32"/>
      <c r="H19" s="33"/>
      <c r="L19" s="34" t="e">
        <f>VALUE(SUBSTITUTE(SUBSTITUTE(SUBSTITUTE(SUBSTITUTE('Aqui Planilha'!L19, ".", ""), "-",""), ";", ""), ":", ""))</f>
        <v>#VALUE!</v>
      </c>
      <c r="M19" s="32"/>
      <c r="N19" s="35"/>
      <c r="Q19" s="36"/>
      <c r="R19" s="27" t="str">
        <f>UPPER(ACENTO('Aqui Planilha'!R19))</f>
        <v/>
      </c>
      <c r="S19" s="34" t="e">
        <f>VALUE(SUBSTITUTE(SUBSTITUTE(SUBSTITUTE(SUBSTITUTE('Aqui Planilha'!S19, ".", ""), "-",""), ";", ""), ":", ""))</f>
        <v>#VALUE!</v>
      </c>
      <c r="T19" s="37" t="str">
        <f>SUBSTITUTE(SUBSTITUTE(SUBSTITUTE(SUBSTITUTE('Aqui Planilha'!T19, ".", ""), "-",""), ";", ""), ":", "")</f>
        <v/>
      </c>
      <c r="U19" s="37" t="str">
        <f>SUBSTITUTE(SUBSTITUTE(SUBSTITUTE(SUBSTITUTE('Aqui Planilha'!U19, ".", ""), "-",""), ";", ""), ":", "")</f>
        <v/>
      </c>
      <c r="V19" s="37" t="str">
        <f>SUBSTITUTE(SUBSTITUTE(SUBSTITUTE(SUBSTITUTE('Aqui Planilha'!V19, ".", ""), "-",""), ";", ""), ":", "")</f>
        <v/>
      </c>
      <c r="W19" s="30" t="str">
        <f>SUBSTITUTE(SUBSTITUTE(SUBSTITUTE(SUBSTITUTE('Aqui Planilha'!W19, ".", ""), "-",""), ";", ""), ":", "")</f>
        <v/>
      </c>
    </row>
    <row r="20" spans="2:23" x14ac:dyDescent="0.25">
      <c r="B20" s="31"/>
      <c r="D20" s="32"/>
      <c r="H20" s="33"/>
      <c r="L20" s="34" t="e">
        <f>VALUE(SUBSTITUTE(SUBSTITUTE(SUBSTITUTE(SUBSTITUTE('Aqui Planilha'!L20, ".", ""), "-",""), ";", ""), ":", ""))</f>
        <v>#VALUE!</v>
      </c>
      <c r="M20" s="32"/>
      <c r="N20" s="35"/>
      <c r="Q20" s="36"/>
      <c r="R20" s="27" t="str">
        <f>UPPER(ACENTO('Aqui Planilha'!R20))</f>
        <v/>
      </c>
      <c r="S20" s="34" t="e">
        <f>VALUE(SUBSTITUTE(SUBSTITUTE(SUBSTITUTE(SUBSTITUTE('Aqui Planilha'!S20, ".", ""), "-",""), ";", ""), ":", ""))</f>
        <v>#VALUE!</v>
      </c>
      <c r="T20" s="37" t="str">
        <f>SUBSTITUTE(SUBSTITUTE(SUBSTITUTE(SUBSTITUTE('Aqui Planilha'!T20, ".", ""), "-",""), ";", ""), ":", "")</f>
        <v/>
      </c>
      <c r="U20" s="37" t="str">
        <f>SUBSTITUTE(SUBSTITUTE(SUBSTITUTE(SUBSTITUTE('Aqui Planilha'!U20, ".", ""), "-",""), ";", ""), ":", "")</f>
        <v/>
      </c>
      <c r="V20" s="37" t="str">
        <f>SUBSTITUTE(SUBSTITUTE(SUBSTITUTE(SUBSTITUTE('Aqui Planilha'!V20, ".", ""), "-",""), ";", ""), ":", "")</f>
        <v/>
      </c>
      <c r="W20" s="30" t="str">
        <f>SUBSTITUTE(SUBSTITUTE(SUBSTITUTE(SUBSTITUTE('Aqui Planilha'!W20, ".", ""), "-",""), ";", ""), ":", "")</f>
        <v/>
      </c>
    </row>
    <row r="21" spans="2:23" x14ac:dyDescent="0.25">
      <c r="B21" s="31"/>
      <c r="D21" s="32"/>
      <c r="H21" s="33"/>
      <c r="L21" s="34" t="e">
        <f>VALUE(SUBSTITUTE(SUBSTITUTE(SUBSTITUTE(SUBSTITUTE('Aqui Planilha'!L21, ".", ""), "-",""), ";", ""), ":", ""))</f>
        <v>#VALUE!</v>
      </c>
      <c r="M21" s="32"/>
      <c r="N21" s="35"/>
      <c r="Q21" s="36"/>
      <c r="R21" s="27" t="str">
        <f>UPPER(ACENTO('Aqui Planilha'!R21))</f>
        <v/>
      </c>
      <c r="S21" s="34" t="e">
        <f>VALUE(SUBSTITUTE(SUBSTITUTE(SUBSTITUTE(SUBSTITUTE('Aqui Planilha'!S21, ".", ""), "-",""), ";", ""), ":", ""))</f>
        <v>#VALUE!</v>
      </c>
      <c r="T21" s="37" t="str">
        <f>SUBSTITUTE(SUBSTITUTE(SUBSTITUTE(SUBSTITUTE('Aqui Planilha'!T21, ".", ""), "-",""), ";", ""), ":", "")</f>
        <v/>
      </c>
      <c r="U21" s="37" t="str">
        <f>SUBSTITUTE(SUBSTITUTE(SUBSTITUTE(SUBSTITUTE('Aqui Planilha'!U21, ".", ""), "-",""), ";", ""), ":", "")</f>
        <v/>
      </c>
      <c r="V21" s="37" t="str">
        <f>SUBSTITUTE(SUBSTITUTE(SUBSTITUTE(SUBSTITUTE('Aqui Planilha'!V21, ".", ""), "-",""), ";", ""), ":", "")</f>
        <v/>
      </c>
      <c r="W21" s="30" t="str">
        <f>SUBSTITUTE(SUBSTITUTE(SUBSTITUTE(SUBSTITUTE('Aqui Planilha'!W21, ".", ""), "-",""), ";", ""), ":", "")</f>
        <v/>
      </c>
    </row>
    <row r="22" spans="2:23" x14ac:dyDescent="0.25">
      <c r="B22" s="31"/>
      <c r="D22" s="32"/>
      <c r="H22" s="33"/>
      <c r="L22" s="34" t="e">
        <f>VALUE(SUBSTITUTE(SUBSTITUTE(SUBSTITUTE(SUBSTITUTE('Aqui Planilha'!L22, ".", ""), "-",""), ";", ""), ":", ""))</f>
        <v>#VALUE!</v>
      </c>
      <c r="M22" s="32"/>
      <c r="N22" s="35"/>
      <c r="Q22" s="36"/>
      <c r="R22" s="27" t="str">
        <f>UPPER(ACENTO('Aqui Planilha'!R22))</f>
        <v/>
      </c>
      <c r="S22" s="34" t="e">
        <f>VALUE(SUBSTITUTE(SUBSTITUTE(SUBSTITUTE(SUBSTITUTE('Aqui Planilha'!S22, ".", ""), "-",""), ";", ""), ":", ""))</f>
        <v>#VALUE!</v>
      </c>
      <c r="T22" s="37" t="str">
        <f>SUBSTITUTE(SUBSTITUTE(SUBSTITUTE(SUBSTITUTE('Aqui Planilha'!T22, ".", ""), "-",""), ";", ""), ":", "")</f>
        <v/>
      </c>
      <c r="U22" s="37" t="str">
        <f>SUBSTITUTE(SUBSTITUTE(SUBSTITUTE(SUBSTITUTE('Aqui Planilha'!U22, ".", ""), "-",""), ";", ""), ":", "")</f>
        <v/>
      </c>
      <c r="V22" s="37" t="str">
        <f>SUBSTITUTE(SUBSTITUTE(SUBSTITUTE(SUBSTITUTE('Aqui Planilha'!V22, ".", ""), "-",""), ";", ""), ":", "")</f>
        <v/>
      </c>
      <c r="W22" s="30" t="str">
        <f>SUBSTITUTE(SUBSTITUTE(SUBSTITUTE(SUBSTITUTE('Aqui Planilha'!W22, ".", ""), "-",""), ";", ""), ":", "")</f>
        <v/>
      </c>
    </row>
    <row r="23" spans="2:23" x14ac:dyDescent="0.25">
      <c r="B23" s="31"/>
      <c r="D23" s="32"/>
      <c r="H23" s="33"/>
      <c r="L23" s="34" t="e">
        <f>VALUE(SUBSTITUTE(SUBSTITUTE(SUBSTITUTE(SUBSTITUTE('Aqui Planilha'!L23, ".", ""), "-",""), ";", ""), ":", ""))</f>
        <v>#VALUE!</v>
      </c>
      <c r="M23" s="32"/>
      <c r="N23" s="35"/>
      <c r="Q23" s="36"/>
      <c r="R23" s="27" t="str">
        <f>UPPER(ACENTO('Aqui Planilha'!R23))</f>
        <v/>
      </c>
      <c r="S23" s="34" t="e">
        <f>VALUE(SUBSTITUTE(SUBSTITUTE(SUBSTITUTE(SUBSTITUTE('Aqui Planilha'!S23, ".", ""), "-",""), ";", ""), ":", ""))</f>
        <v>#VALUE!</v>
      </c>
      <c r="T23" s="37" t="str">
        <f>SUBSTITUTE(SUBSTITUTE(SUBSTITUTE(SUBSTITUTE('Aqui Planilha'!T23, ".", ""), "-",""), ";", ""), ":", "")</f>
        <v/>
      </c>
      <c r="U23" s="37" t="str">
        <f>SUBSTITUTE(SUBSTITUTE(SUBSTITUTE(SUBSTITUTE('Aqui Planilha'!U23, ".", ""), "-",""), ";", ""), ":", "")</f>
        <v/>
      </c>
      <c r="V23" s="37" t="str">
        <f>SUBSTITUTE(SUBSTITUTE(SUBSTITUTE(SUBSTITUTE('Aqui Planilha'!V23, ".", ""), "-",""), ";", ""), ":", "")</f>
        <v/>
      </c>
      <c r="W23" s="30" t="str">
        <f>SUBSTITUTE(SUBSTITUTE(SUBSTITUTE(SUBSTITUTE('Aqui Planilha'!W23, ".", ""), "-",""), ";", ""), ":", "")</f>
        <v/>
      </c>
    </row>
    <row r="24" spans="2:23" x14ac:dyDescent="0.25">
      <c r="B24" s="31"/>
      <c r="D24" s="32"/>
      <c r="H24" s="33"/>
      <c r="L24" s="34" t="e">
        <f>VALUE(SUBSTITUTE(SUBSTITUTE(SUBSTITUTE(SUBSTITUTE('Aqui Planilha'!L24, ".", ""), "-",""), ";", ""), ":", ""))</f>
        <v>#VALUE!</v>
      </c>
      <c r="M24" s="32"/>
      <c r="N24" s="35"/>
      <c r="Q24" s="36"/>
      <c r="R24" s="27" t="str">
        <f>UPPER(ACENTO('Aqui Planilha'!R24))</f>
        <v/>
      </c>
      <c r="S24" s="34" t="e">
        <f>VALUE(SUBSTITUTE(SUBSTITUTE(SUBSTITUTE(SUBSTITUTE('Aqui Planilha'!S24, ".", ""), "-",""), ";", ""), ":", ""))</f>
        <v>#VALUE!</v>
      </c>
      <c r="T24" s="37" t="str">
        <f>SUBSTITUTE(SUBSTITUTE(SUBSTITUTE(SUBSTITUTE('Aqui Planilha'!T24, ".", ""), "-",""), ";", ""), ":", "")</f>
        <v/>
      </c>
      <c r="U24" s="37" t="str">
        <f>SUBSTITUTE(SUBSTITUTE(SUBSTITUTE(SUBSTITUTE('Aqui Planilha'!U24, ".", ""), "-",""), ";", ""), ":", "")</f>
        <v/>
      </c>
      <c r="V24" s="37" t="str">
        <f>SUBSTITUTE(SUBSTITUTE(SUBSTITUTE(SUBSTITUTE('Aqui Planilha'!V24, ".", ""), "-",""), ";", ""), ":", "")</f>
        <v/>
      </c>
      <c r="W24" s="30" t="str">
        <f>SUBSTITUTE(SUBSTITUTE(SUBSTITUTE(SUBSTITUTE('Aqui Planilha'!W24, ".", ""), "-",""), ";", ""), ":", "")</f>
        <v/>
      </c>
    </row>
    <row r="25" spans="2:23" x14ac:dyDescent="0.25">
      <c r="B25" s="31"/>
      <c r="D25" s="32"/>
      <c r="H25" s="33"/>
      <c r="L25" s="34" t="e">
        <f>VALUE(SUBSTITUTE(SUBSTITUTE(SUBSTITUTE(SUBSTITUTE('Aqui Planilha'!L25, ".", ""), "-",""), ";", ""), ":", ""))</f>
        <v>#VALUE!</v>
      </c>
      <c r="M25" s="32"/>
      <c r="N25" s="35"/>
      <c r="Q25" s="36"/>
      <c r="R25" s="27" t="str">
        <f>UPPER(ACENTO('Aqui Planilha'!R25))</f>
        <v/>
      </c>
      <c r="S25" s="34" t="e">
        <f>VALUE(SUBSTITUTE(SUBSTITUTE(SUBSTITUTE(SUBSTITUTE('Aqui Planilha'!S25, ".", ""), "-",""), ";", ""), ":", ""))</f>
        <v>#VALUE!</v>
      </c>
      <c r="T25" s="37" t="str">
        <f>SUBSTITUTE(SUBSTITUTE(SUBSTITUTE(SUBSTITUTE('Aqui Planilha'!T25, ".", ""), "-",""), ";", ""), ":", "")</f>
        <v/>
      </c>
      <c r="U25" s="37" t="str">
        <f>SUBSTITUTE(SUBSTITUTE(SUBSTITUTE(SUBSTITUTE('Aqui Planilha'!U25, ".", ""), "-",""), ";", ""), ":", "")</f>
        <v/>
      </c>
      <c r="V25" s="37" t="str">
        <f>SUBSTITUTE(SUBSTITUTE(SUBSTITUTE(SUBSTITUTE('Aqui Planilha'!V25, ".", ""), "-",""), ";", ""), ":", "")</f>
        <v/>
      </c>
      <c r="W25" s="30" t="str">
        <f>SUBSTITUTE(SUBSTITUTE(SUBSTITUTE(SUBSTITUTE('Aqui Planilha'!W25, ".", ""), "-",""), ";", ""), ":", "")</f>
        <v/>
      </c>
    </row>
    <row r="26" spans="2:23" x14ac:dyDescent="0.25">
      <c r="B26" s="31"/>
      <c r="D26" s="32"/>
      <c r="H26" s="33"/>
      <c r="L26" s="34" t="e">
        <f>VALUE(SUBSTITUTE(SUBSTITUTE(SUBSTITUTE(SUBSTITUTE('Aqui Planilha'!L26, ".", ""), "-",""), ";", ""), ":", ""))</f>
        <v>#VALUE!</v>
      </c>
      <c r="M26" s="32"/>
      <c r="N26" s="35"/>
      <c r="Q26" s="36"/>
      <c r="R26" s="27" t="str">
        <f>UPPER(ACENTO('Aqui Planilha'!R26))</f>
        <v/>
      </c>
      <c r="S26" s="34" t="e">
        <f>VALUE(SUBSTITUTE(SUBSTITUTE(SUBSTITUTE(SUBSTITUTE('Aqui Planilha'!S26, ".", ""), "-",""), ";", ""), ":", ""))</f>
        <v>#VALUE!</v>
      </c>
      <c r="T26" s="37" t="str">
        <f>SUBSTITUTE(SUBSTITUTE(SUBSTITUTE(SUBSTITUTE('Aqui Planilha'!T26, ".", ""), "-",""), ";", ""), ":", "")</f>
        <v/>
      </c>
      <c r="U26" s="37" t="str">
        <f>SUBSTITUTE(SUBSTITUTE(SUBSTITUTE(SUBSTITUTE('Aqui Planilha'!U26, ".", ""), "-",""), ";", ""), ":", "")</f>
        <v/>
      </c>
      <c r="V26" s="37" t="str">
        <f>SUBSTITUTE(SUBSTITUTE(SUBSTITUTE(SUBSTITUTE('Aqui Planilha'!V26, ".", ""), "-",""), ";", ""), ":", "")</f>
        <v/>
      </c>
      <c r="W26" s="30" t="str">
        <f>SUBSTITUTE(SUBSTITUTE(SUBSTITUTE(SUBSTITUTE('Aqui Planilha'!W26, ".", ""), "-",""), ";", ""), ":", "")</f>
        <v/>
      </c>
    </row>
    <row r="27" spans="2:23" x14ac:dyDescent="0.25">
      <c r="B27" s="31"/>
      <c r="D27" s="32"/>
      <c r="H27" s="33"/>
      <c r="L27" s="34" t="e">
        <f>VALUE(SUBSTITUTE(SUBSTITUTE(SUBSTITUTE(SUBSTITUTE('Aqui Planilha'!L27, ".", ""), "-",""), ";", ""), ":", ""))</f>
        <v>#VALUE!</v>
      </c>
      <c r="M27" s="32"/>
      <c r="N27" s="35"/>
      <c r="Q27" s="36"/>
      <c r="R27" s="27" t="str">
        <f>UPPER(ACENTO('Aqui Planilha'!R27))</f>
        <v/>
      </c>
      <c r="S27" s="34" t="e">
        <f>VALUE(SUBSTITUTE(SUBSTITUTE(SUBSTITUTE(SUBSTITUTE('Aqui Planilha'!S27, ".", ""), "-",""), ";", ""), ":", ""))</f>
        <v>#VALUE!</v>
      </c>
      <c r="T27" s="37" t="str">
        <f>SUBSTITUTE(SUBSTITUTE(SUBSTITUTE(SUBSTITUTE('Aqui Planilha'!T27, ".", ""), "-",""), ";", ""), ":", "")</f>
        <v/>
      </c>
      <c r="U27" s="37" t="str">
        <f>SUBSTITUTE(SUBSTITUTE(SUBSTITUTE(SUBSTITUTE('Aqui Planilha'!U27, ".", ""), "-",""), ";", ""), ":", "")</f>
        <v/>
      </c>
      <c r="V27" s="37" t="str">
        <f>SUBSTITUTE(SUBSTITUTE(SUBSTITUTE(SUBSTITUTE('Aqui Planilha'!V27, ".", ""), "-",""), ";", ""), ":", "")</f>
        <v/>
      </c>
      <c r="W27" s="30" t="str">
        <f>SUBSTITUTE(SUBSTITUTE(SUBSTITUTE(SUBSTITUTE('Aqui Planilha'!W27, ".", ""), "-",""), ";", ""), ":", "")</f>
        <v/>
      </c>
    </row>
    <row r="28" spans="2:23" x14ac:dyDescent="0.25">
      <c r="B28" s="31"/>
      <c r="D28" s="32"/>
      <c r="H28" s="33"/>
      <c r="L28" s="34" t="e">
        <f>VALUE(SUBSTITUTE(SUBSTITUTE(SUBSTITUTE(SUBSTITUTE('Aqui Planilha'!L28, ".", ""), "-",""), ";", ""), ":", ""))</f>
        <v>#VALUE!</v>
      </c>
      <c r="M28" s="32"/>
      <c r="N28" s="35"/>
      <c r="Q28" s="36"/>
      <c r="R28" s="27" t="str">
        <f>UPPER(ACENTO('Aqui Planilha'!R28))</f>
        <v/>
      </c>
      <c r="S28" s="34" t="e">
        <f>VALUE(SUBSTITUTE(SUBSTITUTE(SUBSTITUTE(SUBSTITUTE('Aqui Planilha'!S28, ".", ""), "-",""), ";", ""), ":", ""))</f>
        <v>#VALUE!</v>
      </c>
      <c r="T28" s="37" t="str">
        <f>SUBSTITUTE(SUBSTITUTE(SUBSTITUTE(SUBSTITUTE('Aqui Planilha'!T28, ".", ""), "-",""), ";", ""), ":", "")</f>
        <v/>
      </c>
      <c r="U28" s="37" t="str">
        <f>SUBSTITUTE(SUBSTITUTE(SUBSTITUTE(SUBSTITUTE('Aqui Planilha'!U28, ".", ""), "-",""), ";", ""), ":", "")</f>
        <v/>
      </c>
      <c r="V28" s="37" t="str">
        <f>SUBSTITUTE(SUBSTITUTE(SUBSTITUTE(SUBSTITUTE('Aqui Planilha'!V28, ".", ""), "-",""), ";", ""), ":", "")</f>
        <v/>
      </c>
      <c r="W28" s="30" t="str">
        <f>SUBSTITUTE(SUBSTITUTE(SUBSTITUTE(SUBSTITUTE('Aqui Planilha'!W28, ".", ""), "-",""), ";", ""), ":", "")</f>
        <v/>
      </c>
    </row>
    <row r="29" spans="2:23" x14ac:dyDescent="0.25">
      <c r="B29" s="31"/>
      <c r="D29" s="32"/>
      <c r="H29" s="33"/>
      <c r="L29" s="34" t="e">
        <f>VALUE(SUBSTITUTE(SUBSTITUTE(SUBSTITUTE(SUBSTITUTE('Aqui Planilha'!L29, ".", ""), "-",""), ";", ""), ":", ""))</f>
        <v>#VALUE!</v>
      </c>
      <c r="M29" s="32"/>
      <c r="N29" s="35"/>
      <c r="Q29" s="36"/>
      <c r="R29" s="27" t="str">
        <f>UPPER(ACENTO('Aqui Planilha'!R29))</f>
        <v/>
      </c>
      <c r="S29" s="34" t="e">
        <f>VALUE(SUBSTITUTE(SUBSTITUTE(SUBSTITUTE(SUBSTITUTE('Aqui Planilha'!S29, ".", ""), "-",""), ";", ""), ":", ""))</f>
        <v>#VALUE!</v>
      </c>
      <c r="T29" s="37" t="str">
        <f>SUBSTITUTE(SUBSTITUTE(SUBSTITUTE(SUBSTITUTE('Aqui Planilha'!T29, ".", ""), "-",""), ";", ""), ":", "")</f>
        <v/>
      </c>
      <c r="U29" s="37" t="str">
        <f>SUBSTITUTE(SUBSTITUTE(SUBSTITUTE(SUBSTITUTE('Aqui Planilha'!U29, ".", ""), "-",""), ";", ""), ":", "")</f>
        <v/>
      </c>
      <c r="V29" s="37" t="str">
        <f>SUBSTITUTE(SUBSTITUTE(SUBSTITUTE(SUBSTITUTE('Aqui Planilha'!V29, ".", ""), "-",""), ";", ""), ":", "")</f>
        <v/>
      </c>
      <c r="W29" s="30" t="str">
        <f>SUBSTITUTE(SUBSTITUTE(SUBSTITUTE(SUBSTITUTE('Aqui Planilha'!W29, ".", ""), "-",""), ";", ""), ":", "")</f>
        <v/>
      </c>
    </row>
    <row r="30" spans="2:23" x14ac:dyDescent="0.25">
      <c r="B30" s="31"/>
      <c r="D30" s="32"/>
      <c r="H30" s="33"/>
      <c r="L30" s="34" t="e">
        <f>VALUE(SUBSTITUTE(SUBSTITUTE(SUBSTITUTE(SUBSTITUTE('Aqui Planilha'!L30, ".", ""), "-",""), ";", ""), ":", ""))</f>
        <v>#VALUE!</v>
      </c>
      <c r="M30" s="32"/>
      <c r="N30" s="35"/>
      <c r="Q30" s="36"/>
      <c r="R30" s="27" t="str">
        <f>UPPER(ACENTO('Aqui Planilha'!R30))</f>
        <v/>
      </c>
      <c r="S30" s="34" t="e">
        <f>VALUE(SUBSTITUTE(SUBSTITUTE(SUBSTITUTE(SUBSTITUTE('Aqui Planilha'!S30, ".", ""), "-",""), ";", ""), ":", ""))</f>
        <v>#VALUE!</v>
      </c>
      <c r="T30" s="37" t="str">
        <f>SUBSTITUTE(SUBSTITUTE(SUBSTITUTE(SUBSTITUTE('Aqui Planilha'!T30, ".", ""), "-",""), ";", ""), ":", "")</f>
        <v/>
      </c>
      <c r="U30" s="37" t="str">
        <f>SUBSTITUTE(SUBSTITUTE(SUBSTITUTE(SUBSTITUTE('Aqui Planilha'!U30, ".", ""), "-",""), ";", ""), ":", "")</f>
        <v/>
      </c>
      <c r="V30" s="37" t="str">
        <f>SUBSTITUTE(SUBSTITUTE(SUBSTITUTE(SUBSTITUTE('Aqui Planilha'!V30, ".", ""), "-",""), ";", ""), ":", "")</f>
        <v/>
      </c>
      <c r="W30" s="30" t="str">
        <f>SUBSTITUTE(SUBSTITUTE(SUBSTITUTE(SUBSTITUTE('Aqui Planilha'!W30, ".", ""), "-",""), ";", ""), ":", "")</f>
        <v/>
      </c>
    </row>
    <row r="31" spans="2:23" x14ac:dyDescent="0.25">
      <c r="B31" s="31"/>
      <c r="D31" s="32"/>
      <c r="H31" s="33"/>
      <c r="L31" s="34" t="e">
        <f>VALUE(SUBSTITUTE(SUBSTITUTE(SUBSTITUTE(SUBSTITUTE('Aqui Planilha'!L31, ".", ""), "-",""), ";", ""), ":", ""))</f>
        <v>#VALUE!</v>
      </c>
      <c r="M31" s="32"/>
      <c r="N31" s="35"/>
      <c r="Q31" s="36"/>
      <c r="R31" s="27" t="str">
        <f>UPPER(ACENTO('Aqui Planilha'!R31))</f>
        <v/>
      </c>
      <c r="S31" s="34" t="e">
        <f>VALUE(SUBSTITUTE(SUBSTITUTE(SUBSTITUTE(SUBSTITUTE('Aqui Planilha'!S31, ".", ""), "-",""), ";", ""), ":", ""))</f>
        <v>#VALUE!</v>
      </c>
      <c r="T31" s="37" t="str">
        <f>SUBSTITUTE(SUBSTITUTE(SUBSTITUTE(SUBSTITUTE('Aqui Planilha'!T31, ".", ""), "-",""), ";", ""), ":", "")</f>
        <v/>
      </c>
      <c r="U31" s="37" t="str">
        <f>SUBSTITUTE(SUBSTITUTE(SUBSTITUTE(SUBSTITUTE('Aqui Planilha'!U31, ".", ""), "-",""), ";", ""), ":", "")</f>
        <v/>
      </c>
      <c r="V31" s="37" t="str">
        <f>SUBSTITUTE(SUBSTITUTE(SUBSTITUTE(SUBSTITUTE('Aqui Planilha'!V31, ".", ""), "-",""), ";", ""), ":", "")</f>
        <v/>
      </c>
      <c r="W31" s="30" t="str">
        <f>SUBSTITUTE(SUBSTITUTE(SUBSTITUTE(SUBSTITUTE('Aqui Planilha'!W31, ".", ""), "-",""), ";", ""), ":", "")</f>
        <v/>
      </c>
    </row>
    <row r="32" spans="2:23" x14ac:dyDescent="0.25">
      <c r="B32" s="31"/>
      <c r="D32" s="32"/>
      <c r="H32" s="33"/>
      <c r="L32" s="34" t="e">
        <f>VALUE(SUBSTITUTE(SUBSTITUTE(SUBSTITUTE(SUBSTITUTE('Aqui Planilha'!L32, ".", ""), "-",""), ";", ""), ":", ""))</f>
        <v>#VALUE!</v>
      </c>
      <c r="M32" s="32"/>
      <c r="N32" s="35"/>
      <c r="Q32" s="36"/>
      <c r="R32" s="27" t="str">
        <f>UPPER(ACENTO('Aqui Planilha'!R32))</f>
        <v/>
      </c>
      <c r="S32" s="34" t="e">
        <f>VALUE(SUBSTITUTE(SUBSTITUTE(SUBSTITUTE(SUBSTITUTE('Aqui Planilha'!S32, ".", ""), "-",""), ";", ""), ":", ""))</f>
        <v>#VALUE!</v>
      </c>
      <c r="T32" s="37" t="str">
        <f>SUBSTITUTE(SUBSTITUTE(SUBSTITUTE(SUBSTITUTE('Aqui Planilha'!T32, ".", ""), "-",""), ";", ""), ":", "")</f>
        <v/>
      </c>
      <c r="U32" s="37" t="str">
        <f>SUBSTITUTE(SUBSTITUTE(SUBSTITUTE(SUBSTITUTE('Aqui Planilha'!U32, ".", ""), "-",""), ";", ""), ":", "")</f>
        <v/>
      </c>
      <c r="V32" s="37" t="str">
        <f>SUBSTITUTE(SUBSTITUTE(SUBSTITUTE(SUBSTITUTE('Aqui Planilha'!V32, ".", ""), "-",""), ";", ""), ":", "")</f>
        <v/>
      </c>
      <c r="W32" s="30" t="str">
        <f>SUBSTITUTE(SUBSTITUTE(SUBSTITUTE(SUBSTITUTE('Aqui Planilha'!W32, ".", ""), "-",""), ";", ""), ":", "")</f>
        <v/>
      </c>
    </row>
    <row r="33" spans="2:23" x14ac:dyDescent="0.25">
      <c r="B33" s="31"/>
      <c r="D33" s="32"/>
      <c r="H33" s="33"/>
      <c r="L33" s="34" t="e">
        <f>VALUE(SUBSTITUTE(SUBSTITUTE(SUBSTITUTE(SUBSTITUTE('Aqui Planilha'!L33, ".", ""), "-",""), ";", ""), ":", ""))</f>
        <v>#VALUE!</v>
      </c>
      <c r="M33" s="32"/>
      <c r="N33" s="35"/>
      <c r="Q33" s="36"/>
      <c r="R33" s="27" t="str">
        <f>UPPER(ACENTO('Aqui Planilha'!R33))</f>
        <v/>
      </c>
      <c r="S33" s="34" t="e">
        <f>VALUE(SUBSTITUTE(SUBSTITUTE(SUBSTITUTE(SUBSTITUTE('Aqui Planilha'!S33, ".", ""), "-",""), ";", ""), ":", ""))</f>
        <v>#VALUE!</v>
      </c>
      <c r="T33" s="37" t="str">
        <f>SUBSTITUTE(SUBSTITUTE(SUBSTITUTE(SUBSTITUTE('Aqui Planilha'!T33, ".", ""), "-",""), ";", ""), ":", "")</f>
        <v/>
      </c>
      <c r="U33" s="37" t="str">
        <f>SUBSTITUTE(SUBSTITUTE(SUBSTITUTE(SUBSTITUTE('Aqui Planilha'!U33, ".", ""), "-",""), ";", ""), ":", "")</f>
        <v/>
      </c>
      <c r="V33" s="37" t="str">
        <f>SUBSTITUTE(SUBSTITUTE(SUBSTITUTE(SUBSTITUTE('Aqui Planilha'!V33, ".", ""), "-",""), ";", ""), ":", "")</f>
        <v/>
      </c>
      <c r="W33" s="30" t="str">
        <f>SUBSTITUTE(SUBSTITUTE(SUBSTITUTE(SUBSTITUTE('Aqui Planilha'!W33, ".", ""), "-",""), ";", ""), ":", "")</f>
        <v/>
      </c>
    </row>
    <row r="34" spans="2:23" x14ac:dyDescent="0.25">
      <c r="B34" s="31"/>
      <c r="D34" s="32"/>
      <c r="H34" s="33"/>
      <c r="L34" s="34" t="e">
        <f>VALUE(SUBSTITUTE(SUBSTITUTE(SUBSTITUTE(SUBSTITUTE('Aqui Planilha'!L34, ".", ""), "-",""), ";", ""), ":", ""))</f>
        <v>#VALUE!</v>
      </c>
      <c r="M34" s="32"/>
      <c r="N34" s="35"/>
      <c r="Q34" s="36"/>
      <c r="R34" s="27" t="str">
        <f>UPPER(ACENTO('Aqui Planilha'!R34))</f>
        <v/>
      </c>
      <c r="S34" s="34" t="e">
        <f>VALUE(SUBSTITUTE(SUBSTITUTE(SUBSTITUTE(SUBSTITUTE('Aqui Planilha'!S34, ".", ""), "-",""), ";", ""), ":", ""))</f>
        <v>#VALUE!</v>
      </c>
      <c r="T34" s="37" t="str">
        <f>SUBSTITUTE(SUBSTITUTE(SUBSTITUTE(SUBSTITUTE('Aqui Planilha'!T34, ".", ""), "-",""), ";", ""), ":", "")</f>
        <v/>
      </c>
      <c r="U34" s="37" t="str">
        <f>SUBSTITUTE(SUBSTITUTE(SUBSTITUTE(SUBSTITUTE('Aqui Planilha'!U34, ".", ""), "-",""), ";", ""), ":", "")</f>
        <v/>
      </c>
      <c r="V34" s="37" t="str">
        <f>SUBSTITUTE(SUBSTITUTE(SUBSTITUTE(SUBSTITUTE('Aqui Planilha'!V34, ".", ""), "-",""), ";", ""), ":", "")</f>
        <v/>
      </c>
      <c r="W34" s="30" t="str">
        <f>SUBSTITUTE(SUBSTITUTE(SUBSTITUTE(SUBSTITUTE('Aqui Planilha'!W34, ".", ""), "-",""), ";", ""), ":", "")</f>
        <v/>
      </c>
    </row>
    <row r="35" spans="2:23" x14ac:dyDescent="0.25">
      <c r="B35" s="31"/>
      <c r="D35" s="32"/>
      <c r="H35" s="33"/>
      <c r="L35" s="34" t="e">
        <f>VALUE(SUBSTITUTE(SUBSTITUTE(SUBSTITUTE(SUBSTITUTE('Aqui Planilha'!L35, ".", ""), "-",""), ";", ""), ":", ""))</f>
        <v>#VALUE!</v>
      </c>
      <c r="M35" s="32"/>
      <c r="N35" s="35"/>
      <c r="Q35" s="36"/>
      <c r="R35" s="27" t="str">
        <f>UPPER(ACENTO('Aqui Planilha'!R35))</f>
        <v/>
      </c>
      <c r="S35" s="34" t="e">
        <f>VALUE(SUBSTITUTE(SUBSTITUTE(SUBSTITUTE(SUBSTITUTE('Aqui Planilha'!S35, ".", ""), "-",""), ";", ""), ":", ""))</f>
        <v>#VALUE!</v>
      </c>
      <c r="T35" s="37" t="str">
        <f>SUBSTITUTE(SUBSTITUTE(SUBSTITUTE(SUBSTITUTE('Aqui Planilha'!T35, ".", ""), "-",""), ";", ""), ":", "")</f>
        <v/>
      </c>
      <c r="U35" s="37" t="str">
        <f>SUBSTITUTE(SUBSTITUTE(SUBSTITUTE(SUBSTITUTE('Aqui Planilha'!U35, ".", ""), "-",""), ";", ""), ":", "")</f>
        <v/>
      </c>
      <c r="V35" s="37" t="str">
        <f>SUBSTITUTE(SUBSTITUTE(SUBSTITUTE(SUBSTITUTE('Aqui Planilha'!V35, ".", ""), "-",""), ";", ""), ":", "")</f>
        <v/>
      </c>
      <c r="W35" s="30" t="str">
        <f>SUBSTITUTE(SUBSTITUTE(SUBSTITUTE(SUBSTITUTE('Aqui Planilha'!W35, ".", ""), "-",""), ";", ""), ":", "")</f>
        <v/>
      </c>
    </row>
    <row r="36" spans="2:23" x14ac:dyDescent="0.25">
      <c r="B36" s="31"/>
      <c r="D36" s="32"/>
      <c r="H36" s="33"/>
      <c r="L36" s="34" t="e">
        <f>VALUE(SUBSTITUTE(SUBSTITUTE(SUBSTITUTE(SUBSTITUTE('Aqui Planilha'!L36, ".", ""), "-",""), ";", ""), ":", ""))</f>
        <v>#VALUE!</v>
      </c>
      <c r="M36" s="32"/>
      <c r="N36" s="35"/>
      <c r="Q36" s="36"/>
      <c r="R36" s="27" t="str">
        <f>UPPER(ACENTO('Aqui Planilha'!R36))</f>
        <v/>
      </c>
      <c r="S36" s="34" t="e">
        <f>VALUE(SUBSTITUTE(SUBSTITUTE(SUBSTITUTE(SUBSTITUTE('Aqui Planilha'!S36, ".", ""), "-",""), ";", ""), ":", ""))</f>
        <v>#VALUE!</v>
      </c>
      <c r="T36" s="37" t="str">
        <f>SUBSTITUTE(SUBSTITUTE(SUBSTITUTE(SUBSTITUTE('Aqui Planilha'!T36, ".", ""), "-",""), ";", ""), ":", "")</f>
        <v/>
      </c>
      <c r="U36" s="37" t="str">
        <f>SUBSTITUTE(SUBSTITUTE(SUBSTITUTE(SUBSTITUTE('Aqui Planilha'!U36, ".", ""), "-",""), ";", ""), ":", "")</f>
        <v/>
      </c>
      <c r="V36" s="37" t="str">
        <f>SUBSTITUTE(SUBSTITUTE(SUBSTITUTE(SUBSTITUTE('Aqui Planilha'!V36, ".", ""), "-",""), ";", ""), ":", "")</f>
        <v/>
      </c>
      <c r="W36" s="30" t="str">
        <f>SUBSTITUTE(SUBSTITUTE(SUBSTITUTE(SUBSTITUTE('Aqui Planilha'!W36, ".", ""), "-",""), ";", ""), ":", "")</f>
        <v/>
      </c>
    </row>
    <row r="37" spans="2:23" x14ac:dyDescent="0.25">
      <c r="B37" s="31"/>
      <c r="D37" s="32"/>
      <c r="H37" s="33"/>
      <c r="L37" s="34" t="e">
        <f>VALUE(SUBSTITUTE(SUBSTITUTE(SUBSTITUTE(SUBSTITUTE('Aqui Planilha'!L37, ".", ""), "-",""), ";", ""), ":", ""))</f>
        <v>#VALUE!</v>
      </c>
      <c r="M37" s="32"/>
      <c r="N37" s="35"/>
      <c r="Q37" s="36"/>
      <c r="R37" s="27" t="str">
        <f>UPPER(ACENTO('Aqui Planilha'!R37))</f>
        <v/>
      </c>
      <c r="S37" s="34" t="e">
        <f>VALUE(SUBSTITUTE(SUBSTITUTE(SUBSTITUTE(SUBSTITUTE('Aqui Planilha'!S37, ".", ""), "-",""), ";", ""), ":", ""))</f>
        <v>#VALUE!</v>
      </c>
      <c r="T37" s="37" t="str">
        <f>SUBSTITUTE(SUBSTITUTE(SUBSTITUTE(SUBSTITUTE('Aqui Planilha'!T37, ".", ""), "-",""), ";", ""), ":", "")</f>
        <v/>
      </c>
      <c r="U37" s="37" t="str">
        <f>SUBSTITUTE(SUBSTITUTE(SUBSTITUTE(SUBSTITUTE('Aqui Planilha'!U37, ".", ""), "-",""), ";", ""), ":", "")</f>
        <v/>
      </c>
      <c r="V37" s="37" t="str">
        <f>SUBSTITUTE(SUBSTITUTE(SUBSTITUTE(SUBSTITUTE('Aqui Planilha'!V37, ".", ""), "-",""), ";", ""), ":", "")</f>
        <v/>
      </c>
      <c r="W37" s="30" t="str">
        <f>SUBSTITUTE(SUBSTITUTE(SUBSTITUTE(SUBSTITUTE('Aqui Planilha'!W37, ".", ""), "-",""), ";", ""), ":", "")</f>
        <v/>
      </c>
    </row>
    <row r="38" spans="2:23" x14ac:dyDescent="0.25">
      <c r="B38" s="31"/>
      <c r="D38" s="32"/>
      <c r="H38" s="33"/>
      <c r="L38" s="34" t="e">
        <f>VALUE(SUBSTITUTE(SUBSTITUTE(SUBSTITUTE(SUBSTITUTE('Aqui Planilha'!L38, ".", ""), "-",""), ";", ""), ":", ""))</f>
        <v>#VALUE!</v>
      </c>
      <c r="M38" s="32"/>
      <c r="N38" s="35"/>
      <c r="Q38" s="36"/>
      <c r="R38" s="27" t="str">
        <f>UPPER(ACENTO('Aqui Planilha'!R38))</f>
        <v/>
      </c>
      <c r="S38" s="34" t="e">
        <f>VALUE(SUBSTITUTE(SUBSTITUTE(SUBSTITUTE(SUBSTITUTE('Aqui Planilha'!S38, ".", ""), "-",""), ";", ""), ":", ""))</f>
        <v>#VALUE!</v>
      </c>
      <c r="T38" s="37" t="str">
        <f>SUBSTITUTE(SUBSTITUTE(SUBSTITUTE(SUBSTITUTE('Aqui Planilha'!T38, ".", ""), "-",""), ";", ""), ":", "")</f>
        <v/>
      </c>
      <c r="U38" s="37" t="str">
        <f>SUBSTITUTE(SUBSTITUTE(SUBSTITUTE(SUBSTITUTE('Aqui Planilha'!U38, ".", ""), "-",""), ";", ""), ":", "")</f>
        <v/>
      </c>
      <c r="V38" s="37" t="str">
        <f>SUBSTITUTE(SUBSTITUTE(SUBSTITUTE(SUBSTITUTE('Aqui Planilha'!V38, ".", ""), "-",""), ";", ""), ":", "")</f>
        <v/>
      </c>
      <c r="W38" s="30" t="str">
        <f>SUBSTITUTE(SUBSTITUTE(SUBSTITUTE(SUBSTITUTE('Aqui Planilha'!W38, ".", ""), "-",""), ";", ""), ":", "")</f>
        <v/>
      </c>
    </row>
    <row r="39" spans="2:23" x14ac:dyDescent="0.25">
      <c r="B39" s="31"/>
      <c r="D39" s="32"/>
      <c r="H39" s="33"/>
      <c r="L39" s="34" t="e">
        <f>VALUE(SUBSTITUTE(SUBSTITUTE(SUBSTITUTE(SUBSTITUTE('Aqui Planilha'!L39, ".", ""), "-",""), ";", ""), ":", ""))</f>
        <v>#VALUE!</v>
      </c>
      <c r="M39" s="32"/>
      <c r="N39" s="35"/>
      <c r="Q39" s="36"/>
      <c r="R39" s="27" t="str">
        <f>UPPER(ACENTO('Aqui Planilha'!R39))</f>
        <v/>
      </c>
      <c r="S39" s="34" t="e">
        <f>VALUE(SUBSTITUTE(SUBSTITUTE(SUBSTITUTE(SUBSTITUTE('Aqui Planilha'!S39, ".", ""), "-",""), ";", ""), ":", ""))</f>
        <v>#VALUE!</v>
      </c>
      <c r="T39" s="37" t="str">
        <f>SUBSTITUTE(SUBSTITUTE(SUBSTITUTE(SUBSTITUTE('Aqui Planilha'!T39, ".", ""), "-",""), ";", ""), ":", "")</f>
        <v/>
      </c>
      <c r="U39" s="37" t="str">
        <f>SUBSTITUTE(SUBSTITUTE(SUBSTITUTE(SUBSTITUTE('Aqui Planilha'!U39, ".", ""), "-",""), ";", ""), ":", "")</f>
        <v/>
      </c>
      <c r="V39" s="37" t="str">
        <f>SUBSTITUTE(SUBSTITUTE(SUBSTITUTE(SUBSTITUTE('Aqui Planilha'!V39, ".", ""), "-",""), ";", ""), ":", "")</f>
        <v/>
      </c>
      <c r="W39" s="30" t="str">
        <f>SUBSTITUTE(SUBSTITUTE(SUBSTITUTE(SUBSTITUTE('Aqui Planilha'!W39, ".", ""), "-",""), ";", ""), ":", "")</f>
        <v/>
      </c>
    </row>
    <row r="40" spans="2:23" x14ac:dyDescent="0.25">
      <c r="B40" s="31"/>
      <c r="D40" s="32"/>
      <c r="H40" s="33"/>
      <c r="L40" s="34" t="e">
        <f>VALUE(SUBSTITUTE(SUBSTITUTE(SUBSTITUTE(SUBSTITUTE('Aqui Planilha'!L40, ".", ""), "-",""), ";", ""), ":", ""))</f>
        <v>#VALUE!</v>
      </c>
      <c r="M40" s="32"/>
      <c r="N40" s="35"/>
      <c r="Q40" s="36"/>
      <c r="R40" s="27" t="str">
        <f>UPPER(ACENTO('Aqui Planilha'!R40))</f>
        <v/>
      </c>
      <c r="S40" s="34" t="e">
        <f>VALUE(SUBSTITUTE(SUBSTITUTE(SUBSTITUTE(SUBSTITUTE('Aqui Planilha'!S40, ".", ""), "-",""), ";", ""), ":", ""))</f>
        <v>#VALUE!</v>
      </c>
      <c r="T40" s="37" t="str">
        <f>SUBSTITUTE(SUBSTITUTE(SUBSTITUTE(SUBSTITUTE('Aqui Planilha'!T40, ".", ""), "-",""), ";", ""), ":", "")</f>
        <v/>
      </c>
      <c r="U40" s="37" t="str">
        <f>SUBSTITUTE(SUBSTITUTE(SUBSTITUTE(SUBSTITUTE('Aqui Planilha'!U40, ".", ""), "-",""), ";", ""), ":", "")</f>
        <v/>
      </c>
      <c r="V40" s="37" t="str">
        <f>SUBSTITUTE(SUBSTITUTE(SUBSTITUTE(SUBSTITUTE('Aqui Planilha'!V40, ".", ""), "-",""), ";", ""), ":", "")</f>
        <v/>
      </c>
      <c r="W40" s="30" t="str">
        <f>SUBSTITUTE(SUBSTITUTE(SUBSTITUTE(SUBSTITUTE('Aqui Planilha'!W40, ".", ""), "-",""), ";", ""), ":", "")</f>
        <v/>
      </c>
    </row>
    <row r="41" spans="2:23" x14ac:dyDescent="0.25">
      <c r="B41" s="31"/>
      <c r="D41" s="32"/>
      <c r="H41" s="33"/>
      <c r="L41" s="34" t="e">
        <f>VALUE(SUBSTITUTE(SUBSTITUTE(SUBSTITUTE(SUBSTITUTE('Aqui Planilha'!L41, ".", ""), "-",""), ";", ""), ":", ""))</f>
        <v>#VALUE!</v>
      </c>
      <c r="M41" s="32"/>
      <c r="N41" s="35"/>
      <c r="Q41" s="36"/>
      <c r="R41" s="27" t="str">
        <f>UPPER(ACENTO('Aqui Planilha'!R41))</f>
        <v/>
      </c>
      <c r="S41" s="34" t="e">
        <f>VALUE(SUBSTITUTE(SUBSTITUTE(SUBSTITUTE(SUBSTITUTE('Aqui Planilha'!S41, ".", ""), "-",""), ";", ""), ":", ""))</f>
        <v>#VALUE!</v>
      </c>
      <c r="T41" s="37" t="str">
        <f>SUBSTITUTE(SUBSTITUTE(SUBSTITUTE(SUBSTITUTE('Aqui Planilha'!T41, ".", ""), "-",""), ";", ""), ":", "")</f>
        <v/>
      </c>
      <c r="U41" s="37" t="str">
        <f>SUBSTITUTE(SUBSTITUTE(SUBSTITUTE(SUBSTITUTE('Aqui Planilha'!U41, ".", ""), "-",""), ";", ""), ":", "")</f>
        <v/>
      </c>
      <c r="V41" s="37" t="str">
        <f>SUBSTITUTE(SUBSTITUTE(SUBSTITUTE(SUBSTITUTE('Aqui Planilha'!V41, ".", ""), "-",""), ";", ""), ":", "")</f>
        <v/>
      </c>
      <c r="W41" s="30" t="str">
        <f>SUBSTITUTE(SUBSTITUTE(SUBSTITUTE(SUBSTITUTE('Aqui Planilha'!W41, ".", ""), "-",""), ";", ""), ":", "")</f>
        <v/>
      </c>
    </row>
    <row r="42" spans="2:23" x14ac:dyDescent="0.25">
      <c r="B42" s="31"/>
      <c r="D42" s="32"/>
      <c r="H42" s="33"/>
      <c r="L42" s="34" t="e">
        <f>VALUE(SUBSTITUTE(SUBSTITUTE(SUBSTITUTE(SUBSTITUTE('Aqui Planilha'!L42, ".", ""), "-",""), ";", ""), ":", ""))</f>
        <v>#VALUE!</v>
      </c>
      <c r="M42" s="32"/>
      <c r="N42" s="35"/>
      <c r="Q42" s="36"/>
      <c r="R42" s="27" t="str">
        <f>UPPER(ACENTO('Aqui Planilha'!R42))</f>
        <v/>
      </c>
      <c r="S42" s="34" t="e">
        <f>VALUE(SUBSTITUTE(SUBSTITUTE(SUBSTITUTE(SUBSTITUTE('Aqui Planilha'!S42, ".", ""), "-",""), ";", ""), ":", ""))</f>
        <v>#VALUE!</v>
      </c>
      <c r="T42" s="37" t="str">
        <f>SUBSTITUTE(SUBSTITUTE(SUBSTITUTE(SUBSTITUTE('Aqui Planilha'!T42, ".", ""), "-",""), ";", ""), ":", "")</f>
        <v/>
      </c>
      <c r="U42" s="37" t="str">
        <f>SUBSTITUTE(SUBSTITUTE(SUBSTITUTE(SUBSTITUTE('Aqui Planilha'!U42, ".", ""), "-",""), ";", ""), ":", "")</f>
        <v/>
      </c>
      <c r="V42" s="37" t="str">
        <f>SUBSTITUTE(SUBSTITUTE(SUBSTITUTE(SUBSTITUTE('Aqui Planilha'!V42, ".", ""), "-",""), ";", ""), ":", "")</f>
        <v/>
      </c>
      <c r="W42" s="30" t="str">
        <f>SUBSTITUTE(SUBSTITUTE(SUBSTITUTE(SUBSTITUTE('Aqui Planilha'!W42, ".", ""), "-",""), ";", ""), ":", "")</f>
        <v/>
      </c>
    </row>
    <row r="43" spans="2:23" x14ac:dyDescent="0.25">
      <c r="B43" s="31"/>
      <c r="D43" s="32"/>
      <c r="H43" s="33"/>
      <c r="L43" s="34" t="e">
        <f>VALUE(SUBSTITUTE(SUBSTITUTE(SUBSTITUTE(SUBSTITUTE('Aqui Planilha'!L43, ".", ""), "-",""), ";", ""), ":", ""))</f>
        <v>#VALUE!</v>
      </c>
      <c r="M43" s="32"/>
      <c r="N43" s="35"/>
      <c r="Q43" s="36"/>
      <c r="R43" s="27" t="str">
        <f>UPPER(ACENTO('Aqui Planilha'!R43))</f>
        <v/>
      </c>
      <c r="S43" s="34" t="e">
        <f>VALUE(SUBSTITUTE(SUBSTITUTE(SUBSTITUTE(SUBSTITUTE('Aqui Planilha'!S43, ".", ""), "-",""), ";", ""), ":", ""))</f>
        <v>#VALUE!</v>
      </c>
      <c r="T43" s="37" t="str">
        <f>SUBSTITUTE(SUBSTITUTE(SUBSTITUTE(SUBSTITUTE('Aqui Planilha'!T43, ".", ""), "-",""), ";", ""), ":", "")</f>
        <v/>
      </c>
      <c r="U43" s="37" t="str">
        <f>SUBSTITUTE(SUBSTITUTE(SUBSTITUTE(SUBSTITUTE('Aqui Planilha'!U43, ".", ""), "-",""), ";", ""), ":", "")</f>
        <v/>
      </c>
      <c r="V43" s="37" t="str">
        <f>SUBSTITUTE(SUBSTITUTE(SUBSTITUTE(SUBSTITUTE('Aqui Planilha'!V43, ".", ""), "-",""), ";", ""), ":", "")</f>
        <v/>
      </c>
      <c r="W43" s="30" t="str">
        <f>SUBSTITUTE(SUBSTITUTE(SUBSTITUTE(SUBSTITUTE('Aqui Planilha'!W43, ".", ""), "-",""), ";", ""), ":", "")</f>
        <v/>
      </c>
    </row>
    <row r="44" spans="2:23" x14ac:dyDescent="0.25">
      <c r="B44" s="31"/>
      <c r="D44" s="32"/>
      <c r="H44" s="33"/>
      <c r="L44" s="34" t="e">
        <f>VALUE(SUBSTITUTE(SUBSTITUTE(SUBSTITUTE(SUBSTITUTE('Aqui Planilha'!L44, ".", ""), "-",""), ";", ""), ":", ""))</f>
        <v>#VALUE!</v>
      </c>
      <c r="M44" s="32"/>
      <c r="N44" s="35"/>
      <c r="Q44" s="36"/>
      <c r="R44" s="27" t="str">
        <f>UPPER(ACENTO('Aqui Planilha'!R44))</f>
        <v/>
      </c>
      <c r="S44" s="34" t="e">
        <f>VALUE(SUBSTITUTE(SUBSTITUTE(SUBSTITUTE(SUBSTITUTE('Aqui Planilha'!S44, ".", ""), "-",""), ";", ""), ":", ""))</f>
        <v>#VALUE!</v>
      </c>
      <c r="T44" s="37" t="str">
        <f>SUBSTITUTE(SUBSTITUTE(SUBSTITUTE(SUBSTITUTE('Aqui Planilha'!T44, ".", ""), "-",""), ";", ""), ":", "")</f>
        <v/>
      </c>
      <c r="U44" s="37" t="str">
        <f>SUBSTITUTE(SUBSTITUTE(SUBSTITUTE(SUBSTITUTE('Aqui Planilha'!U44, ".", ""), "-",""), ";", ""), ":", "")</f>
        <v/>
      </c>
      <c r="V44" s="37" t="str">
        <f>SUBSTITUTE(SUBSTITUTE(SUBSTITUTE(SUBSTITUTE('Aqui Planilha'!V44, ".", ""), "-",""), ";", ""), ":", "")</f>
        <v/>
      </c>
      <c r="W44" s="30" t="str">
        <f>SUBSTITUTE(SUBSTITUTE(SUBSTITUTE(SUBSTITUTE('Aqui Planilha'!W44, ".", ""), "-",""), ";", ""), ":", "")</f>
        <v/>
      </c>
    </row>
    <row r="45" spans="2:23" x14ac:dyDescent="0.25">
      <c r="B45" s="31"/>
      <c r="D45" s="32"/>
      <c r="H45" s="33"/>
      <c r="L45" s="34" t="e">
        <f>VALUE(SUBSTITUTE(SUBSTITUTE(SUBSTITUTE(SUBSTITUTE('Aqui Planilha'!L45, ".", ""), "-",""), ";", ""), ":", ""))</f>
        <v>#VALUE!</v>
      </c>
      <c r="M45" s="32"/>
      <c r="N45" s="35"/>
      <c r="Q45" s="36"/>
      <c r="R45" s="27" t="str">
        <f>UPPER(ACENTO('Aqui Planilha'!R45))</f>
        <v/>
      </c>
      <c r="S45" s="34" t="e">
        <f>VALUE(SUBSTITUTE(SUBSTITUTE(SUBSTITUTE(SUBSTITUTE('Aqui Planilha'!S45, ".", ""), "-",""), ";", ""), ":", ""))</f>
        <v>#VALUE!</v>
      </c>
      <c r="T45" s="37" t="str">
        <f>SUBSTITUTE(SUBSTITUTE(SUBSTITUTE(SUBSTITUTE('Aqui Planilha'!T45, ".", ""), "-",""), ";", ""), ":", "")</f>
        <v/>
      </c>
      <c r="U45" s="37" t="str">
        <f>SUBSTITUTE(SUBSTITUTE(SUBSTITUTE(SUBSTITUTE('Aqui Planilha'!U45, ".", ""), "-",""), ";", ""), ":", "")</f>
        <v/>
      </c>
      <c r="V45" s="37" t="str">
        <f>SUBSTITUTE(SUBSTITUTE(SUBSTITUTE(SUBSTITUTE('Aqui Planilha'!V45, ".", ""), "-",""), ";", ""), ":", "")</f>
        <v/>
      </c>
      <c r="W45" s="30" t="str">
        <f>SUBSTITUTE(SUBSTITUTE(SUBSTITUTE(SUBSTITUTE('Aqui Planilha'!W45, ".", ""), "-",""), ";", ""), ":", "")</f>
        <v/>
      </c>
    </row>
    <row r="46" spans="2:23" x14ac:dyDescent="0.25">
      <c r="B46" s="31"/>
      <c r="D46" s="32"/>
      <c r="H46" s="33"/>
      <c r="L46" s="34" t="e">
        <f>VALUE(SUBSTITUTE(SUBSTITUTE(SUBSTITUTE(SUBSTITUTE('Aqui Planilha'!L46, ".", ""), "-",""), ";", ""), ":", ""))</f>
        <v>#VALUE!</v>
      </c>
      <c r="M46" s="32"/>
      <c r="N46" s="35"/>
      <c r="Q46" s="36"/>
      <c r="R46" s="27" t="str">
        <f>UPPER(ACENTO('Aqui Planilha'!R46))</f>
        <v/>
      </c>
      <c r="S46" s="34" t="e">
        <f>VALUE(SUBSTITUTE(SUBSTITUTE(SUBSTITUTE(SUBSTITUTE('Aqui Planilha'!S46, ".", ""), "-",""), ";", ""), ":", ""))</f>
        <v>#VALUE!</v>
      </c>
      <c r="T46" s="37" t="str">
        <f>SUBSTITUTE(SUBSTITUTE(SUBSTITUTE(SUBSTITUTE('Aqui Planilha'!T46, ".", ""), "-",""), ";", ""), ":", "")</f>
        <v/>
      </c>
      <c r="U46" s="37" t="str">
        <f>SUBSTITUTE(SUBSTITUTE(SUBSTITUTE(SUBSTITUTE('Aqui Planilha'!U46, ".", ""), "-",""), ";", ""), ":", "")</f>
        <v/>
      </c>
      <c r="V46" s="37" t="str">
        <f>SUBSTITUTE(SUBSTITUTE(SUBSTITUTE(SUBSTITUTE('Aqui Planilha'!V46, ".", ""), "-",""), ";", ""), ":", "")</f>
        <v/>
      </c>
      <c r="W46" s="30" t="str">
        <f>SUBSTITUTE(SUBSTITUTE(SUBSTITUTE(SUBSTITUTE('Aqui Planilha'!W46, ".", ""), "-",""), ";", ""), ":", "")</f>
        <v/>
      </c>
    </row>
    <row r="47" spans="2:23" x14ac:dyDescent="0.25">
      <c r="B47" s="31"/>
      <c r="D47" s="32"/>
      <c r="H47" s="33"/>
      <c r="L47" s="34" t="e">
        <f>VALUE(SUBSTITUTE(SUBSTITUTE(SUBSTITUTE(SUBSTITUTE('Aqui Planilha'!L47, ".", ""), "-",""), ";", ""), ":", ""))</f>
        <v>#VALUE!</v>
      </c>
      <c r="M47" s="32"/>
      <c r="N47" s="35"/>
      <c r="Q47" s="36"/>
      <c r="R47" s="27" t="str">
        <f>UPPER(ACENTO('Aqui Planilha'!R47))</f>
        <v/>
      </c>
      <c r="S47" s="34" t="e">
        <f>VALUE(SUBSTITUTE(SUBSTITUTE(SUBSTITUTE(SUBSTITUTE('Aqui Planilha'!S47, ".", ""), "-",""), ";", ""), ":", ""))</f>
        <v>#VALUE!</v>
      </c>
      <c r="T47" s="37" t="str">
        <f>SUBSTITUTE(SUBSTITUTE(SUBSTITUTE(SUBSTITUTE('Aqui Planilha'!T47, ".", ""), "-",""), ";", ""), ":", "")</f>
        <v/>
      </c>
      <c r="U47" s="37" t="str">
        <f>SUBSTITUTE(SUBSTITUTE(SUBSTITUTE(SUBSTITUTE('Aqui Planilha'!U47, ".", ""), "-",""), ";", ""), ":", "")</f>
        <v/>
      </c>
      <c r="V47" s="37" t="str">
        <f>SUBSTITUTE(SUBSTITUTE(SUBSTITUTE(SUBSTITUTE('Aqui Planilha'!V47, ".", ""), "-",""), ";", ""), ":", "")</f>
        <v/>
      </c>
      <c r="W47" s="30" t="str">
        <f>SUBSTITUTE(SUBSTITUTE(SUBSTITUTE(SUBSTITUTE('Aqui Planilha'!W47, ".", ""), "-",""), ";", ""), ":", "")</f>
        <v/>
      </c>
    </row>
    <row r="48" spans="2:23" x14ac:dyDescent="0.25">
      <c r="B48" s="31"/>
      <c r="D48" s="32"/>
      <c r="H48" s="33"/>
      <c r="L48" s="34" t="e">
        <f>VALUE(SUBSTITUTE(SUBSTITUTE(SUBSTITUTE(SUBSTITUTE('Aqui Planilha'!L48, ".", ""), "-",""), ";", ""), ":", ""))</f>
        <v>#VALUE!</v>
      </c>
      <c r="M48" s="32"/>
      <c r="N48" s="35"/>
      <c r="Q48" s="36"/>
      <c r="R48" s="27" t="str">
        <f>UPPER(ACENTO('Aqui Planilha'!R48))</f>
        <v/>
      </c>
      <c r="S48" s="34" t="e">
        <f>VALUE(SUBSTITUTE(SUBSTITUTE(SUBSTITUTE(SUBSTITUTE('Aqui Planilha'!S48, ".", ""), "-",""), ";", ""), ":", ""))</f>
        <v>#VALUE!</v>
      </c>
      <c r="T48" s="37" t="str">
        <f>SUBSTITUTE(SUBSTITUTE(SUBSTITUTE(SUBSTITUTE('Aqui Planilha'!T48, ".", ""), "-",""), ";", ""), ":", "")</f>
        <v/>
      </c>
      <c r="U48" s="37" t="str">
        <f>SUBSTITUTE(SUBSTITUTE(SUBSTITUTE(SUBSTITUTE('Aqui Planilha'!U48, ".", ""), "-",""), ";", ""), ":", "")</f>
        <v/>
      </c>
      <c r="V48" s="37" t="str">
        <f>SUBSTITUTE(SUBSTITUTE(SUBSTITUTE(SUBSTITUTE('Aqui Planilha'!V48, ".", ""), "-",""), ";", ""), ":", "")</f>
        <v/>
      </c>
      <c r="W48" s="30" t="str">
        <f>SUBSTITUTE(SUBSTITUTE(SUBSTITUTE(SUBSTITUTE('Aqui Planilha'!W48, ".", ""), "-",""), ";", ""), ":", "")</f>
        <v/>
      </c>
    </row>
    <row r="49" spans="2:23" x14ac:dyDescent="0.25">
      <c r="B49" s="31"/>
      <c r="D49" s="32"/>
      <c r="H49" s="33"/>
      <c r="L49" s="34" t="e">
        <f>VALUE(SUBSTITUTE(SUBSTITUTE(SUBSTITUTE(SUBSTITUTE('Aqui Planilha'!L49, ".", ""), "-",""), ";", ""), ":", ""))</f>
        <v>#VALUE!</v>
      </c>
      <c r="M49" s="32"/>
      <c r="N49" s="35"/>
      <c r="Q49" s="36"/>
      <c r="R49" s="27" t="str">
        <f>UPPER(ACENTO('Aqui Planilha'!R49))</f>
        <v/>
      </c>
      <c r="S49" s="34" t="e">
        <f>VALUE(SUBSTITUTE(SUBSTITUTE(SUBSTITUTE(SUBSTITUTE('Aqui Planilha'!S49, ".", ""), "-",""), ";", ""), ":", ""))</f>
        <v>#VALUE!</v>
      </c>
      <c r="T49" s="37" t="str">
        <f>SUBSTITUTE(SUBSTITUTE(SUBSTITUTE(SUBSTITUTE('Aqui Planilha'!T49, ".", ""), "-",""), ";", ""), ":", "")</f>
        <v/>
      </c>
      <c r="U49" s="37" t="str">
        <f>SUBSTITUTE(SUBSTITUTE(SUBSTITUTE(SUBSTITUTE('Aqui Planilha'!U49, ".", ""), "-",""), ";", ""), ":", "")</f>
        <v/>
      </c>
      <c r="V49" s="37" t="str">
        <f>SUBSTITUTE(SUBSTITUTE(SUBSTITUTE(SUBSTITUTE('Aqui Planilha'!V49, ".", ""), "-",""), ";", ""), ":", "")</f>
        <v/>
      </c>
      <c r="W49" s="30" t="str">
        <f>SUBSTITUTE(SUBSTITUTE(SUBSTITUTE(SUBSTITUTE('Aqui Planilha'!W49, ".", ""), "-",""), ";", ""), ":", "")</f>
        <v/>
      </c>
    </row>
    <row r="50" spans="2:23" s="2" customFormat="1" x14ac:dyDescent="0.25">
      <c r="B50" s="4"/>
      <c r="C50" s="24"/>
      <c r="D50" s="5"/>
      <c r="H50" s="6"/>
      <c r="L50" s="25" t="e">
        <f>VALUE(SUBSTITUTE(SUBSTITUTE(SUBSTITUTE(SUBSTITUTE('Aqui Planilha'!L50, ".", ""), "-",""), ";", ""), ":", ""))</f>
        <v>#VALUE!</v>
      </c>
      <c r="M50" s="5"/>
      <c r="N50" s="26"/>
      <c r="Q50" s="8"/>
      <c r="R50" s="2" t="str">
        <f>UPPER(ACENTO('Aqui Planilha'!R50))</f>
        <v/>
      </c>
      <c r="S50" s="7" t="str">
        <f>SUBSTITUTE(SUBSTITUTE(SUBSTITUTE(SUBSTITUTE('Aqui Planilha'!S50, ".", ""), "-",""), ";", ""), ":", "")</f>
        <v/>
      </c>
      <c r="T50" s="7" t="str">
        <f>SUBSTITUTE(SUBSTITUTE(SUBSTITUTE(SUBSTITUTE('Aqui Planilha'!T50, ".", ""), "-",""), ";", ""), ":", "")</f>
        <v/>
      </c>
      <c r="U50" s="7" t="str">
        <f>SUBSTITUTE(SUBSTITUTE(SUBSTITUTE(SUBSTITUTE('Aqui Planilha'!U50, ".", ""), "-",""), ";", ""), ":", "")</f>
        <v/>
      </c>
      <c r="V50" s="7" t="str">
        <f>SUBSTITUTE(SUBSTITUTE(SUBSTITUTE(SUBSTITUTE('Aqui Planilha'!V50, ".", ""), "-",""), ";", ""), ":", "")</f>
        <v/>
      </c>
      <c r="W50" s="3" t="str">
        <f>SUBSTITUTE(SUBSTITUTE(SUBSTITUTE(SUBSTITUTE('Aqui Planilha'!W50, ".", ""), "-",""), ";", ""), ":", "")</f>
        <v/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W50"/>
  <sheetViews>
    <sheetView zoomScale="85" zoomScaleNormal="85" workbookViewId="0">
      <selection activeCell="A3" sqref="A3"/>
    </sheetView>
  </sheetViews>
  <sheetFormatPr defaultRowHeight="15.75" x14ac:dyDescent="0.25"/>
  <cols>
    <col min="1" max="1" width="30.375" style="39" bestFit="1" customWidth="1"/>
    <col min="2" max="2" width="19" style="9" bestFit="1" customWidth="1"/>
    <col min="3" max="3" width="13.75" style="9" bestFit="1" customWidth="1"/>
    <col min="4" max="4" width="10.125" style="9" bestFit="1" customWidth="1"/>
    <col min="5" max="5" width="15.125" style="9" bestFit="1" customWidth="1"/>
    <col min="6" max="6" width="18" style="9" bestFit="1" customWidth="1"/>
    <col min="7" max="7" width="24.125" style="9" bestFit="1" customWidth="1"/>
    <col min="8" max="8" width="9.875" style="9" bestFit="1" customWidth="1"/>
    <col min="9" max="9" width="16" style="9" bestFit="1" customWidth="1"/>
    <col min="10" max="10" width="23" style="9" bestFit="1" customWidth="1"/>
    <col min="11" max="11" width="14.375" style="9" bestFit="1" customWidth="1"/>
    <col min="12" max="12" width="13.5" style="9" bestFit="1" customWidth="1"/>
    <col min="13" max="13" width="12.5" style="9" bestFit="1" customWidth="1"/>
    <col min="14" max="14" width="14.5" style="9" bestFit="1" customWidth="1"/>
    <col min="15" max="15" width="16.5" style="9" bestFit="1" customWidth="1"/>
    <col min="16" max="16" width="15.625" style="9" bestFit="1" customWidth="1"/>
    <col min="17" max="17" width="3.625" style="9" bestFit="1" customWidth="1"/>
    <col min="18" max="18" width="22.875" style="9" bestFit="1" customWidth="1"/>
    <col min="19" max="19" width="21.75" style="9" bestFit="1" customWidth="1"/>
    <col min="20" max="20" width="19.125" style="9" bestFit="1" customWidth="1"/>
    <col min="21" max="21" width="21.375" style="9" bestFit="1" customWidth="1"/>
    <col min="22" max="22" width="19.375" style="9" bestFit="1" customWidth="1"/>
    <col min="23" max="23" width="11.875" style="9" bestFit="1" customWidth="1"/>
    <col min="24" max="16384" width="9" style="9"/>
  </cols>
  <sheetData>
    <row r="1" spans="1:23" s="10" customFormat="1" x14ac:dyDescent="0.25">
      <c r="A1" s="38" t="s">
        <v>0</v>
      </c>
      <c r="B1" s="10" t="s">
        <v>1</v>
      </c>
      <c r="C1" s="10" t="s">
        <v>2</v>
      </c>
      <c r="E1" s="43"/>
    </row>
    <row r="2" spans="1:23" x14ac:dyDescent="0.25">
      <c r="A2" s="53" t="str">
        <f>UPPER('Aqui Planilha'!A2)</f>
        <v>ZWT</v>
      </c>
      <c r="B2" s="46" t="s">
        <v>41</v>
      </c>
      <c r="C2" s="11">
        <f>COUNTIF(C4:C105,"M")+COUNTIF(C4:C105,"F")</f>
        <v>1</v>
      </c>
    </row>
    <row r="3" spans="1:23" s="42" customFormat="1" x14ac:dyDescent="0.25">
      <c r="A3" s="41" t="s">
        <v>4</v>
      </c>
      <c r="B3" s="42" t="s">
        <v>5</v>
      </c>
      <c r="C3" s="42" t="s">
        <v>6</v>
      </c>
      <c r="D3" s="42" t="s">
        <v>7</v>
      </c>
      <c r="E3" s="42" t="s">
        <v>8</v>
      </c>
      <c r="F3" s="42" t="s">
        <v>9</v>
      </c>
      <c r="G3" s="42" t="s">
        <v>10</v>
      </c>
      <c r="H3" s="42" t="s">
        <v>11</v>
      </c>
      <c r="I3" s="42" t="s">
        <v>12</v>
      </c>
      <c r="J3" s="42" t="s">
        <v>13</v>
      </c>
      <c r="K3" s="42" t="s">
        <v>14</v>
      </c>
      <c r="L3" s="42" t="s">
        <v>15</v>
      </c>
      <c r="M3" s="42" t="s">
        <v>16</v>
      </c>
      <c r="N3" s="42" t="s">
        <v>17</v>
      </c>
      <c r="O3" s="42" t="s">
        <v>18</v>
      </c>
      <c r="P3" s="42" t="s">
        <v>19</v>
      </c>
      <c r="Q3" s="42" t="s">
        <v>20</v>
      </c>
      <c r="R3" s="42" t="s">
        <v>21</v>
      </c>
      <c r="S3" s="42" t="s">
        <v>22</v>
      </c>
      <c r="T3" s="42" t="s">
        <v>23</v>
      </c>
      <c r="U3" s="42" t="s">
        <v>24</v>
      </c>
      <c r="V3" s="42" t="s">
        <v>25</v>
      </c>
      <c r="W3" s="42" t="s">
        <v>26</v>
      </c>
    </row>
    <row r="4" spans="1:23" x14ac:dyDescent="0.25">
      <c r="A4" s="39" t="str">
        <f>UPPER(ACENTO('Aqui Planilha'!A4))</f>
        <v>JOSE ADAO BRITOSKI</v>
      </c>
      <c r="B4" s="12">
        <f>DATEVALUE(SUBSTITUTE(SUBSTITUTE(SUBSTITUTE(SUBSTITUTE(SUBSTITUTE('Aqui Planilha'!B4, ".", "/"), "-","/"), ";", "/"), ":", "/"), "/", "/"))</f>
        <v>44703</v>
      </c>
      <c r="C4" s="9" t="str">
        <f>UPPER('Aqui Planilha'!C4)</f>
        <v>M</v>
      </c>
      <c r="D4" s="13" t="str">
        <f>SUBSTITUTE(SUBSTITUTE(SUBSTITUTE(SUBSTITUTE('Aqui Planilha'!D4, ".", ""), "-",""), ";", ""), ":", "")</f>
        <v>89900000</v>
      </c>
      <c r="E4" s="9" t="str">
        <f>UPPER(ACENTO('Aqui Planilha'!E4))</f>
        <v>ESTR</v>
      </c>
      <c r="F4" s="9" t="str">
        <f>UPPER(ACENTO('Aqui Planilha'!F4))</f>
        <v>RUO</v>
      </c>
      <c r="G4" s="9" t="str">
        <f>UPPER(ACENTO('Aqui Planilha'!G4))</f>
        <v>LOFFTIA</v>
      </c>
      <c r="H4" s="14" t="str">
        <f>SUBSTITUTE(SUBSTITUTE(SUBSTITUTE(SUBSTITUTE(SUBSTITUTE('Aqui Planilha'!H4,"","0"),"Sn","0"),"SN","0"),"sn","0"),"sN","0")</f>
        <v>1</v>
      </c>
      <c r="I4" s="9" t="str">
        <f>UPPER(ACENTO('Aqui Planilha'!I4))</f>
        <v/>
      </c>
      <c r="J4" s="9" t="str">
        <f>UPPER(ACENTO('Aqui Planilha'!J4))</f>
        <v>SAO MIGUEL DO OESTE</v>
      </c>
      <c r="K4" s="9" t="str">
        <f>UPPER(ACENTO('Aqui Planilha'!K4))</f>
        <v>SC</v>
      </c>
      <c r="L4" s="15" t="str">
        <f>(REPT("0",11-LEN(FormulaOcult!L4))&amp;FormulaOcult!L4)</f>
        <v>00546546515</v>
      </c>
      <c r="M4" s="13" t="str">
        <f>SUBSTITUTE(SUBSTITUTE(SUBSTITUTE(SUBSTITUTE('Aqui Planilha'!M4, ".", ""), "-",""), ";", ""), ":", "")</f>
        <v>5999939</v>
      </c>
      <c r="N4" s="12">
        <f>DATEVALUE(SUBSTITUTE(SUBSTITUTE(SUBSTITUTE(SUBSTITUTE(SUBSTITUTE('Aqui Planilha'!N4, ".", "/"), "-","/"), ";", "/"), ":", "/"), "/", "/"))</f>
        <v>44703</v>
      </c>
      <c r="O4" s="9" t="str">
        <f>UPPER(ACENTO('Aqui Planilha'!O4))</f>
        <v>SSP</v>
      </c>
      <c r="P4" s="9" t="str">
        <f>UPPER(ACENTO('Aqui Planilha'!P4))</f>
        <v>SC</v>
      </c>
      <c r="Q4" s="11">
        <f>'Aqui Planilha'!Q4</f>
        <v>5</v>
      </c>
      <c r="R4" s="9" t="str">
        <f>UPPER(ACENTO('Aqui Planilha'!R4))</f>
        <v>JOSE ADAO BRITOSKI</v>
      </c>
      <c r="S4" s="15" t="str">
        <f>(REPT("0",11-LEN(FormulaOcult!S4))&amp;FormulaOcult!S4)</f>
        <v>00546546515</v>
      </c>
      <c r="T4" s="16" t="str">
        <f>SUBSTITUTE(SUBSTITUTE(SUBSTITUTE(SUBSTITUTE('Aqui Planilha'!T4, ".", ""), "-",""), ";", ""), ":", "")</f>
        <v>748</v>
      </c>
      <c r="U4" s="16" t="str">
        <f>SUBSTITUTE(SUBSTITUTE(SUBSTITUTE(SUBSTITUTE('Aqui Planilha'!U4, ".", ""), "-",""), ";", ""), ":", "")</f>
        <v>313</v>
      </c>
      <c r="V4" s="16" t="str">
        <f>SUBSTITUTE(SUBSTITUTE(SUBSTITUTE(SUBSTITUTE('Aqui Planilha'!V4, ".", ""), "-",""), ";", ""), ":", "")</f>
        <v>438618</v>
      </c>
      <c r="W4" s="11" t="str">
        <f>SUBSTITUTE(SUBSTITUTE(SUBSTITUTE(SUBSTITUTE('Aqui Planilha'!W4, ".", ""), "-",""), ";", ""), ":", "")</f>
        <v>1</v>
      </c>
    </row>
    <row r="5" spans="1:23" x14ac:dyDescent="0.25">
      <c r="A5" s="39" t="str">
        <f>UPPER(ACENTO('Aqui Planilha'!A5))</f>
        <v/>
      </c>
      <c r="B5" s="12" t="e">
        <f>DATEVALUE(SUBSTITUTE(SUBSTITUTE(SUBSTITUTE(SUBSTITUTE(SUBSTITUTE('Aqui Planilha'!B5, ".", "/"), "-","/"), ";", "/"), ":", "/"), "/", "/"))</f>
        <v>#VALUE!</v>
      </c>
      <c r="C5" s="9" t="str">
        <f>UPPER('Aqui Planilha'!C5)</f>
        <v/>
      </c>
      <c r="D5" s="13" t="str">
        <f>SUBSTITUTE(SUBSTITUTE(SUBSTITUTE(SUBSTITUTE('Aqui Planilha'!D5, ".", ""), "-",""), ";", ""), ":", "")</f>
        <v/>
      </c>
      <c r="E5" s="9" t="str">
        <f>UPPER(ACENTO('Aqui Planilha'!E5))</f>
        <v/>
      </c>
      <c r="F5" s="9" t="str">
        <f>UPPER(ACENTO('Aqui Planilha'!F5))</f>
        <v/>
      </c>
      <c r="G5" s="9" t="str">
        <f>UPPER(ACENTO('Aqui Planilha'!G5))</f>
        <v/>
      </c>
      <c r="H5" s="14" t="str">
        <f>SUBSTITUTE(SUBSTITUTE(SUBSTITUTE(SUBSTITUTE(SUBSTITUTE('Aqui Planilha'!H5,"","0"),"Sn","0"),"SN","0"),"sn","0"),"sN","0")</f>
        <v/>
      </c>
      <c r="I5" s="9" t="str">
        <f>UPPER(ACENTO('Aqui Planilha'!I5))</f>
        <v/>
      </c>
      <c r="J5" s="9" t="str">
        <f>UPPER(ACENTO('Aqui Planilha'!J5))</f>
        <v/>
      </c>
      <c r="K5" s="9" t="str">
        <f>UPPER(ACENTO('Aqui Planilha'!K5))</f>
        <v/>
      </c>
      <c r="L5" s="15" t="e">
        <f>(REPT("0",11-LEN(FormulaOcult!L5))&amp;FormulaOcult!L5)</f>
        <v>#VALUE!</v>
      </c>
      <c r="M5" s="13" t="str">
        <f>SUBSTITUTE(SUBSTITUTE(SUBSTITUTE(SUBSTITUTE('Aqui Planilha'!M5, ".", ""), "-",""), ";", ""), ":", "")</f>
        <v/>
      </c>
      <c r="N5" s="12" t="e">
        <f>DATEVALUE(SUBSTITUTE(SUBSTITUTE(SUBSTITUTE(SUBSTITUTE(SUBSTITUTE('Aqui Planilha'!N5, ".", "/"), "-","/"), ";", "/"), ":", "/"), "/", "/"))</f>
        <v>#VALUE!</v>
      </c>
      <c r="O5" s="9" t="str">
        <f>UPPER(ACENTO('Aqui Planilha'!O5))</f>
        <v/>
      </c>
      <c r="P5" s="9" t="str">
        <f>UPPER(ACENTO('Aqui Planilha'!P5))</f>
        <v/>
      </c>
      <c r="Q5" s="11">
        <f>'Aqui Planilha'!Q5</f>
        <v>0</v>
      </c>
      <c r="R5" s="9" t="str">
        <f>UPPER(ACENTO('Aqui Planilha'!R5))</f>
        <v/>
      </c>
      <c r="S5" s="16" t="str">
        <f>SUBSTITUTE(SUBSTITUTE(SUBSTITUTE(SUBSTITUTE('Aqui Planilha'!S5, ".", ""), "-",""), ";", ""), ":", "")</f>
        <v/>
      </c>
      <c r="T5" s="16" t="str">
        <f>SUBSTITUTE(SUBSTITUTE(SUBSTITUTE(SUBSTITUTE('Aqui Planilha'!T5, ".", ""), "-",""), ";", ""), ":", "")</f>
        <v/>
      </c>
      <c r="U5" s="16" t="str">
        <f>SUBSTITUTE(SUBSTITUTE(SUBSTITUTE(SUBSTITUTE('Aqui Planilha'!U5, ".", ""), "-",""), ";", ""), ":", "")</f>
        <v/>
      </c>
      <c r="V5" s="16" t="str">
        <f>SUBSTITUTE(SUBSTITUTE(SUBSTITUTE(SUBSTITUTE('Aqui Planilha'!V5, ".", ""), "-",""), ";", ""), ":", "")</f>
        <v/>
      </c>
      <c r="W5" s="11" t="str">
        <f>SUBSTITUTE(SUBSTITUTE(SUBSTITUTE(SUBSTITUTE('Aqui Planilha'!W5, ".", ""), "-",""), ";", ""), ":", "")</f>
        <v/>
      </c>
    </row>
    <row r="6" spans="1:23" x14ac:dyDescent="0.25">
      <c r="A6" s="39" t="str">
        <f>UPPER(ACENTO('Aqui Planilha'!A6))</f>
        <v/>
      </c>
      <c r="B6" s="12" t="e">
        <f>DATEVALUE(SUBSTITUTE(SUBSTITUTE(SUBSTITUTE(SUBSTITUTE(SUBSTITUTE('Aqui Planilha'!B6, ".", "/"), "-","/"), ";", "/"), ":", "/"), "/", "/"))</f>
        <v>#VALUE!</v>
      </c>
      <c r="C6" s="9" t="str">
        <f>UPPER('Aqui Planilha'!C6)</f>
        <v/>
      </c>
      <c r="D6" s="13" t="str">
        <f>SUBSTITUTE(SUBSTITUTE(SUBSTITUTE(SUBSTITUTE('Aqui Planilha'!D6, ".", ""), "-",""), ";", ""), ":", "")</f>
        <v/>
      </c>
      <c r="E6" s="9" t="str">
        <f>UPPER(ACENTO('Aqui Planilha'!E6))</f>
        <v/>
      </c>
      <c r="F6" s="9" t="str">
        <f>UPPER(ACENTO('Aqui Planilha'!F6))</f>
        <v/>
      </c>
      <c r="G6" s="9" t="str">
        <f>UPPER(ACENTO('Aqui Planilha'!G6))</f>
        <v/>
      </c>
      <c r="H6" s="14" t="str">
        <f>SUBSTITUTE(SUBSTITUTE(SUBSTITUTE(SUBSTITUTE(SUBSTITUTE('Aqui Planilha'!H6,"","0"),"Sn","0"),"SN","0"),"sn","0"),"sN","0")</f>
        <v/>
      </c>
      <c r="I6" s="9" t="str">
        <f>UPPER(ACENTO('Aqui Planilha'!I6))</f>
        <v/>
      </c>
      <c r="J6" s="9" t="str">
        <f>UPPER(ACENTO('Aqui Planilha'!J6))</f>
        <v/>
      </c>
      <c r="K6" s="9" t="str">
        <f>UPPER(ACENTO('Aqui Planilha'!K6))</f>
        <v/>
      </c>
      <c r="L6" s="15" t="e">
        <f>(REPT("0",11-LEN(FormulaOcult!L6))&amp;FormulaOcult!L6)</f>
        <v>#VALUE!</v>
      </c>
      <c r="M6" s="13" t="str">
        <f>SUBSTITUTE(SUBSTITUTE(SUBSTITUTE(SUBSTITUTE('Aqui Planilha'!M6, ".", ""), "-",""), ";", ""), ":", "")</f>
        <v/>
      </c>
      <c r="N6" s="12" t="e">
        <f>DATEVALUE(SUBSTITUTE(SUBSTITUTE(SUBSTITUTE(SUBSTITUTE(SUBSTITUTE('Aqui Planilha'!N6, ".", "/"), "-","/"), ";", "/"), ":", "/"), "/", "/"))</f>
        <v>#VALUE!</v>
      </c>
      <c r="O6" s="9" t="str">
        <f>UPPER(ACENTO('Aqui Planilha'!O6))</f>
        <v/>
      </c>
      <c r="P6" s="9" t="str">
        <f>UPPER(ACENTO('Aqui Planilha'!P6))</f>
        <v/>
      </c>
      <c r="Q6" s="11">
        <f>'Aqui Planilha'!Q6</f>
        <v>0</v>
      </c>
      <c r="R6" s="9" t="str">
        <f>UPPER(ACENTO('Aqui Planilha'!R6))</f>
        <v/>
      </c>
      <c r="S6" s="16" t="str">
        <f>SUBSTITUTE(SUBSTITUTE(SUBSTITUTE(SUBSTITUTE('Aqui Planilha'!S6, ".", ""), "-",""), ";", ""), ":", "")</f>
        <v/>
      </c>
      <c r="T6" s="16" t="str">
        <f>SUBSTITUTE(SUBSTITUTE(SUBSTITUTE(SUBSTITUTE('Aqui Planilha'!T6, ".", ""), "-",""), ";", ""), ":", "")</f>
        <v/>
      </c>
      <c r="U6" s="16" t="str">
        <f>SUBSTITUTE(SUBSTITUTE(SUBSTITUTE(SUBSTITUTE('Aqui Planilha'!U6, ".", ""), "-",""), ";", ""), ":", "")</f>
        <v/>
      </c>
      <c r="V6" s="16" t="str">
        <f>SUBSTITUTE(SUBSTITUTE(SUBSTITUTE(SUBSTITUTE('Aqui Planilha'!V6, ".", ""), "-",""), ";", ""), ":", "")</f>
        <v/>
      </c>
      <c r="W6" s="11" t="str">
        <f>SUBSTITUTE(SUBSTITUTE(SUBSTITUTE(SUBSTITUTE('Aqui Planilha'!W6, ".", ""), "-",""), ";", ""), ":", "")</f>
        <v/>
      </c>
    </row>
    <row r="7" spans="1:23" x14ac:dyDescent="0.25">
      <c r="A7" s="39" t="str">
        <f>UPPER(ACENTO('Aqui Planilha'!A7))</f>
        <v/>
      </c>
      <c r="B7" s="12" t="e">
        <f>DATEVALUE(SUBSTITUTE(SUBSTITUTE(SUBSTITUTE(SUBSTITUTE(SUBSTITUTE('Aqui Planilha'!B7, ".", "/"), "-","/"), ";", "/"), ":", "/"), "/", "/"))</f>
        <v>#VALUE!</v>
      </c>
      <c r="C7" s="9" t="str">
        <f>UPPER('Aqui Planilha'!C7)</f>
        <v/>
      </c>
      <c r="D7" s="13" t="str">
        <f>SUBSTITUTE(SUBSTITUTE(SUBSTITUTE(SUBSTITUTE('Aqui Planilha'!D7, ".", ""), "-",""), ";", ""), ":", "")</f>
        <v/>
      </c>
      <c r="E7" s="9" t="str">
        <f>UPPER(ACENTO('Aqui Planilha'!E7))</f>
        <v/>
      </c>
      <c r="F7" s="9" t="str">
        <f>UPPER(ACENTO('Aqui Planilha'!F7))</f>
        <v/>
      </c>
      <c r="G7" s="9" t="str">
        <f>UPPER(ACENTO('Aqui Planilha'!G7))</f>
        <v/>
      </c>
      <c r="H7" s="14" t="str">
        <f>SUBSTITUTE(SUBSTITUTE(SUBSTITUTE(SUBSTITUTE(SUBSTITUTE('Aqui Planilha'!H7,"","0"),"Sn","0"),"SN","0"),"sn","0"),"sN","0")</f>
        <v/>
      </c>
      <c r="I7" s="9" t="str">
        <f>UPPER(ACENTO('Aqui Planilha'!I7))</f>
        <v/>
      </c>
      <c r="J7" s="9" t="str">
        <f>UPPER(ACENTO('Aqui Planilha'!J7))</f>
        <v/>
      </c>
      <c r="K7" s="9" t="str">
        <f>UPPER(ACENTO('Aqui Planilha'!K7))</f>
        <v/>
      </c>
      <c r="L7" s="15" t="e">
        <f>(REPT("0",11-LEN(FormulaOcult!L7))&amp;FormulaOcult!L7)</f>
        <v>#VALUE!</v>
      </c>
      <c r="M7" s="13" t="str">
        <f>SUBSTITUTE(SUBSTITUTE(SUBSTITUTE(SUBSTITUTE('Aqui Planilha'!M7, ".", ""), "-",""), ";", ""), ":", "")</f>
        <v/>
      </c>
      <c r="N7" s="12" t="e">
        <f>DATEVALUE(SUBSTITUTE(SUBSTITUTE(SUBSTITUTE(SUBSTITUTE(SUBSTITUTE('Aqui Planilha'!N7, ".", "/"), "-","/"), ";", "/"), ":", "/"), "/", "/"))</f>
        <v>#VALUE!</v>
      </c>
      <c r="O7" s="9" t="str">
        <f>UPPER(ACENTO('Aqui Planilha'!O7))</f>
        <v/>
      </c>
      <c r="P7" s="9" t="str">
        <f>UPPER(ACENTO('Aqui Planilha'!P7))</f>
        <v/>
      </c>
      <c r="Q7" s="11">
        <f>'Aqui Planilha'!Q7</f>
        <v>0</v>
      </c>
      <c r="R7" s="9" t="str">
        <f>UPPER(ACENTO('Aqui Planilha'!R7))</f>
        <v/>
      </c>
      <c r="S7" s="16" t="str">
        <f>SUBSTITUTE(SUBSTITUTE(SUBSTITUTE(SUBSTITUTE('Aqui Planilha'!S7, ".", ""), "-",""), ";", ""), ":", "")</f>
        <v/>
      </c>
      <c r="T7" s="16" t="str">
        <f>SUBSTITUTE(SUBSTITUTE(SUBSTITUTE(SUBSTITUTE('Aqui Planilha'!T7, ".", ""), "-",""), ";", ""), ":", "")</f>
        <v/>
      </c>
      <c r="U7" s="16" t="str">
        <f>SUBSTITUTE(SUBSTITUTE(SUBSTITUTE(SUBSTITUTE('Aqui Planilha'!U7, ".", ""), "-",""), ";", ""), ":", "")</f>
        <v/>
      </c>
      <c r="V7" s="16" t="str">
        <f>SUBSTITUTE(SUBSTITUTE(SUBSTITUTE(SUBSTITUTE('Aqui Planilha'!V7, ".", ""), "-",""), ";", ""), ":", "")</f>
        <v/>
      </c>
      <c r="W7" s="11" t="str">
        <f>SUBSTITUTE(SUBSTITUTE(SUBSTITUTE(SUBSTITUTE('Aqui Planilha'!W7, ".", ""), "-",""), ";", ""), ":", "")</f>
        <v/>
      </c>
    </row>
    <row r="8" spans="1:23" x14ac:dyDescent="0.25">
      <c r="A8" s="39" t="str">
        <f>UPPER(ACENTO('Aqui Planilha'!A8))</f>
        <v/>
      </c>
      <c r="B8" s="12" t="e">
        <f>DATEVALUE(SUBSTITUTE(SUBSTITUTE(SUBSTITUTE(SUBSTITUTE('Aqui Planilha'!B8, ".", "/"), "-","/"), ";", "/"), ":", "/"))</f>
        <v>#VALUE!</v>
      </c>
      <c r="C8" s="9" t="str">
        <f>UPPER('Aqui Planilha'!C8)</f>
        <v/>
      </c>
      <c r="D8" s="13" t="str">
        <f>SUBSTITUTE(SUBSTITUTE(SUBSTITUTE(SUBSTITUTE('Aqui Planilha'!D8, ".", ""), "-",""), ";", ""), ":", "")</f>
        <v/>
      </c>
      <c r="E8" s="9" t="str">
        <f>UPPER(ACENTO('Aqui Planilha'!E8))</f>
        <v/>
      </c>
      <c r="F8" s="9" t="str">
        <f>UPPER(ACENTO('Aqui Planilha'!F8))</f>
        <v/>
      </c>
      <c r="G8" s="9" t="str">
        <f>UPPER(ACENTO('Aqui Planilha'!G8))</f>
        <v/>
      </c>
      <c r="H8" s="14" t="str">
        <f>SUBSTITUTE(SUBSTITUTE(SUBSTITUTE(SUBSTITUTE(SUBSTITUTE('Aqui Planilha'!H8,"","0"),"Sn","0"),"SN","0"),"sn","0"),"sN","0")</f>
        <v/>
      </c>
      <c r="I8" s="9" t="str">
        <f>UPPER(ACENTO('Aqui Planilha'!I8))</f>
        <v/>
      </c>
      <c r="J8" s="9" t="str">
        <f>UPPER(ACENTO('Aqui Planilha'!J8))</f>
        <v/>
      </c>
      <c r="K8" s="9" t="str">
        <f>UPPER(ACENTO('Aqui Planilha'!K8))</f>
        <v/>
      </c>
      <c r="L8" s="15" t="e">
        <f>(REPT("0",11-LEN(FormulaOcult!L8))&amp;FormulaOcult!L8)</f>
        <v>#VALUE!</v>
      </c>
      <c r="M8" s="13" t="str">
        <f>SUBSTITUTE(SUBSTITUTE(SUBSTITUTE(SUBSTITUTE('Aqui Planilha'!M8, ".", ""), "-",""), ";", ""), ":", "")</f>
        <v/>
      </c>
      <c r="N8" s="12" t="e">
        <f>DATEVALUE(SUBSTITUTE(SUBSTITUTE(SUBSTITUTE(SUBSTITUTE(SUBSTITUTE('Aqui Planilha'!N8, ".", "/"), "-","/"), ";", "/"), ":", "/"), "/", "/"))</f>
        <v>#VALUE!</v>
      </c>
      <c r="O8" s="9" t="str">
        <f>UPPER(ACENTO('Aqui Planilha'!O8))</f>
        <v/>
      </c>
      <c r="P8" s="9" t="str">
        <f>UPPER(ACENTO('Aqui Planilha'!P8))</f>
        <v/>
      </c>
      <c r="Q8" s="11">
        <f>'Aqui Planilha'!Q8</f>
        <v>0</v>
      </c>
      <c r="R8" s="9" t="str">
        <f>UPPER(ACENTO('Aqui Planilha'!R8))</f>
        <v/>
      </c>
      <c r="S8" s="16" t="str">
        <f>SUBSTITUTE(SUBSTITUTE(SUBSTITUTE(SUBSTITUTE('Aqui Planilha'!S8, ".", ""), "-",""), ";", ""), ":", "")</f>
        <v/>
      </c>
      <c r="T8" s="16" t="str">
        <f>SUBSTITUTE(SUBSTITUTE(SUBSTITUTE(SUBSTITUTE('Aqui Planilha'!T8, ".", ""), "-",""), ";", ""), ":", "")</f>
        <v/>
      </c>
      <c r="U8" s="16" t="str">
        <f>SUBSTITUTE(SUBSTITUTE(SUBSTITUTE(SUBSTITUTE('Aqui Planilha'!U8, ".", ""), "-",""), ";", ""), ":", "")</f>
        <v/>
      </c>
      <c r="V8" s="16" t="str">
        <f>SUBSTITUTE(SUBSTITUTE(SUBSTITUTE(SUBSTITUTE('Aqui Planilha'!V8, ".", ""), "-",""), ";", ""), ":", "")</f>
        <v/>
      </c>
      <c r="W8" s="11" t="str">
        <f>SUBSTITUTE(SUBSTITUTE(SUBSTITUTE(SUBSTITUTE('Aqui Planilha'!W8, ".", ""), "-",""), ";", ""), ":", "")</f>
        <v/>
      </c>
    </row>
    <row r="9" spans="1:23" x14ac:dyDescent="0.25">
      <c r="A9" s="39" t="str">
        <f>UPPER(ACENTO('Aqui Planilha'!A9))</f>
        <v/>
      </c>
      <c r="B9" s="12" t="e">
        <f>DATEVALUE(SUBSTITUTE(SUBSTITUTE(SUBSTITUTE(SUBSTITUTE('Aqui Planilha'!B9, ".", "/"), "-","/"), ";", "/"), ":", "/"))</f>
        <v>#VALUE!</v>
      </c>
      <c r="C9" s="9" t="str">
        <f>UPPER('Aqui Planilha'!C9)</f>
        <v/>
      </c>
      <c r="D9" s="13" t="str">
        <f>SUBSTITUTE(SUBSTITUTE(SUBSTITUTE(SUBSTITUTE('Aqui Planilha'!D9, ".", ""), "-",""), ";", ""), ":", "")</f>
        <v/>
      </c>
      <c r="E9" s="9" t="str">
        <f>UPPER(ACENTO('Aqui Planilha'!E9))</f>
        <v/>
      </c>
      <c r="F9" s="9" t="str">
        <f>UPPER(ACENTO('Aqui Planilha'!F9))</f>
        <v/>
      </c>
      <c r="G9" s="9" t="str">
        <f>UPPER(ACENTO('Aqui Planilha'!G9))</f>
        <v/>
      </c>
      <c r="H9" s="14" t="str">
        <f>SUBSTITUTE(SUBSTITUTE(SUBSTITUTE(SUBSTITUTE(SUBSTITUTE('Aqui Planilha'!H9,"","0"),"Sn","0"),"SN","0"),"sn","0"),"sN","0")</f>
        <v/>
      </c>
      <c r="I9" s="9" t="str">
        <f>UPPER(ACENTO('Aqui Planilha'!I9))</f>
        <v/>
      </c>
      <c r="J9" s="9" t="str">
        <f>UPPER(ACENTO('Aqui Planilha'!J9))</f>
        <v/>
      </c>
      <c r="K9" s="9" t="str">
        <f>UPPER(ACENTO('Aqui Planilha'!K9))</f>
        <v/>
      </c>
      <c r="L9" s="15" t="e">
        <f>(REPT("0",11-LEN(FormulaOcult!L9))&amp;FormulaOcult!L9)</f>
        <v>#VALUE!</v>
      </c>
      <c r="M9" s="13" t="str">
        <f>SUBSTITUTE(SUBSTITUTE(SUBSTITUTE(SUBSTITUTE('Aqui Planilha'!M9, ".", ""), "-",""), ";", ""), ":", "")</f>
        <v/>
      </c>
      <c r="N9" s="12" t="e">
        <f>DATEVALUE(SUBSTITUTE(SUBSTITUTE(SUBSTITUTE(SUBSTITUTE(SUBSTITUTE('Aqui Planilha'!N9, ".", "/"), "-","/"), ";", "/"), ":", "/"), "/", "/"))</f>
        <v>#VALUE!</v>
      </c>
      <c r="O9" s="9" t="str">
        <f>UPPER(ACENTO('Aqui Planilha'!O9))</f>
        <v/>
      </c>
      <c r="P9" s="9" t="str">
        <f>UPPER(ACENTO('Aqui Planilha'!P9))</f>
        <v/>
      </c>
      <c r="Q9" s="11">
        <f>'Aqui Planilha'!Q9</f>
        <v>0</v>
      </c>
      <c r="R9" s="9" t="str">
        <f>UPPER(ACENTO('Aqui Planilha'!R9))</f>
        <v/>
      </c>
      <c r="S9" s="16" t="str">
        <f>SUBSTITUTE(SUBSTITUTE(SUBSTITUTE(SUBSTITUTE('Aqui Planilha'!S9, ".", ""), "-",""), ";", ""), ":", "")</f>
        <v/>
      </c>
      <c r="T9" s="16" t="str">
        <f>SUBSTITUTE(SUBSTITUTE(SUBSTITUTE(SUBSTITUTE('Aqui Planilha'!T9, ".", ""), "-",""), ";", ""), ":", "")</f>
        <v/>
      </c>
      <c r="U9" s="16" t="str">
        <f>SUBSTITUTE(SUBSTITUTE(SUBSTITUTE(SUBSTITUTE('Aqui Planilha'!U9, ".", ""), "-",""), ";", ""), ":", "")</f>
        <v/>
      </c>
      <c r="V9" s="16" t="str">
        <f>SUBSTITUTE(SUBSTITUTE(SUBSTITUTE(SUBSTITUTE('Aqui Planilha'!V9, ".", ""), "-",""), ";", ""), ":", "")</f>
        <v/>
      </c>
      <c r="W9" s="11" t="str">
        <f>SUBSTITUTE(SUBSTITUTE(SUBSTITUTE(SUBSTITUTE('Aqui Planilha'!W9, ".", ""), "-",""), ";", ""), ":", "")</f>
        <v/>
      </c>
    </row>
    <row r="10" spans="1:23" x14ac:dyDescent="0.25">
      <c r="A10" s="39" t="str">
        <f>UPPER(ACENTO('Aqui Planilha'!A10))</f>
        <v/>
      </c>
      <c r="B10" s="12" t="e">
        <f>DATEVALUE(SUBSTITUTE(SUBSTITUTE(SUBSTITUTE(SUBSTITUTE('Aqui Planilha'!B10, ".", "/"), "-","/"), ";", "/"), ":", "/"))</f>
        <v>#VALUE!</v>
      </c>
      <c r="C10" s="9" t="str">
        <f>UPPER('Aqui Planilha'!C10)</f>
        <v/>
      </c>
      <c r="D10" s="13" t="str">
        <f>SUBSTITUTE(SUBSTITUTE(SUBSTITUTE(SUBSTITUTE('Aqui Planilha'!D10, ".", ""), "-",""), ";", ""), ":", "")</f>
        <v/>
      </c>
      <c r="E10" s="9" t="str">
        <f>UPPER(ACENTO('Aqui Planilha'!E10))</f>
        <v/>
      </c>
      <c r="F10" s="9" t="str">
        <f>UPPER(ACENTO('Aqui Planilha'!F10))</f>
        <v/>
      </c>
      <c r="G10" s="9" t="str">
        <f>UPPER(ACENTO('Aqui Planilha'!G10))</f>
        <v/>
      </c>
      <c r="H10" s="14" t="str">
        <f>SUBSTITUTE(SUBSTITUTE(SUBSTITUTE(SUBSTITUTE(SUBSTITUTE('Aqui Planilha'!H10,"","0"),"Sn","0"),"SN","0"),"sn","0"),"sN","0")</f>
        <v/>
      </c>
      <c r="I10" s="9" t="str">
        <f>UPPER(ACENTO('Aqui Planilha'!I10))</f>
        <v/>
      </c>
      <c r="J10" s="9" t="str">
        <f>UPPER(ACENTO('Aqui Planilha'!J10))</f>
        <v/>
      </c>
      <c r="K10" s="9" t="str">
        <f>UPPER(ACENTO('Aqui Planilha'!K10))</f>
        <v/>
      </c>
      <c r="L10" s="15" t="e">
        <f>(REPT("0",11-LEN(FormulaOcult!L10))&amp;FormulaOcult!L10)</f>
        <v>#VALUE!</v>
      </c>
      <c r="M10" s="13" t="str">
        <f>SUBSTITUTE(SUBSTITUTE(SUBSTITUTE(SUBSTITUTE('Aqui Planilha'!M10, ".", ""), "-",""), ";", ""), ":", "")</f>
        <v/>
      </c>
      <c r="N10" s="12" t="e">
        <f>DATEVALUE(SUBSTITUTE(SUBSTITUTE(SUBSTITUTE(SUBSTITUTE(SUBSTITUTE('Aqui Planilha'!N10, ".", "/"), "-","/"), ";", "/"), ":", "/"), "/", "/"))</f>
        <v>#VALUE!</v>
      </c>
      <c r="O10" s="9" t="str">
        <f>UPPER(ACENTO('Aqui Planilha'!O10))</f>
        <v/>
      </c>
      <c r="P10" s="9" t="str">
        <f>UPPER(ACENTO('Aqui Planilha'!P10))</f>
        <v/>
      </c>
      <c r="Q10" s="11">
        <f>'Aqui Planilha'!Q10</f>
        <v>0</v>
      </c>
      <c r="R10" s="9" t="str">
        <f>UPPER(ACENTO('Aqui Planilha'!R10))</f>
        <v/>
      </c>
      <c r="S10" s="16" t="str">
        <f>SUBSTITUTE(SUBSTITUTE(SUBSTITUTE(SUBSTITUTE('Aqui Planilha'!S10, ".", ""), "-",""), ";", ""), ":", "")</f>
        <v/>
      </c>
      <c r="T10" s="16" t="str">
        <f>SUBSTITUTE(SUBSTITUTE(SUBSTITUTE(SUBSTITUTE('Aqui Planilha'!T10, ".", ""), "-",""), ";", ""), ":", "")</f>
        <v/>
      </c>
      <c r="U10" s="16" t="str">
        <f>SUBSTITUTE(SUBSTITUTE(SUBSTITUTE(SUBSTITUTE('Aqui Planilha'!U10, ".", ""), "-",""), ";", ""), ":", "")</f>
        <v/>
      </c>
      <c r="V10" s="16" t="str">
        <f>SUBSTITUTE(SUBSTITUTE(SUBSTITUTE(SUBSTITUTE('Aqui Planilha'!V10, ".", ""), "-",""), ";", ""), ":", "")</f>
        <v/>
      </c>
      <c r="W10" s="11" t="str">
        <f>SUBSTITUTE(SUBSTITUTE(SUBSTITUTE(SUBSTITUTE('Aqui Planilha'!W10, ".", ""), "-",""), ";", ""), ":", "")</f>
        <v/>
      </c>
    </row>
    <row r="11" spans="1:23" x14ac:dyDescent="0.25">
      <c r="A11" s="39" t="str">
        <f>UPPER(ACENTO('Aqui Planilha'!A11))</f>
        <v/>
      </c>
      <c r="B11" s="12" t="e">
        <f>DATEVALUE(SUBSTITUTE(SUBSTITUTE(SUBSTITUTE(SUBSTITUTE('Aqui Planilha'!B11, ".", "/"), "-","/"), ";", "/"), ":", "/"))</f>
        <v>#VALUE!</v>
      </c>
      <c r="C11" s="9" t="str">
        <f>UPPER('Aqui Planilha'!C11)</f>
        <v/>
      </c>
      <c r="D11" s="13" t="str">
        <f>SUBSTITUTE(SUBSTITUTE(SUBSTITUTE(SUBSTITUTE('Aqui Planilha'!D11, ".", ""), "-",""), ";", ""), ":", "")</f>
        <v/>
      </c>
      <c r="E11" s="9" t="str">
        <f>UPPER(ACENTO('Aqui Planilha'!E11))</f>
        <v/>
      </c>
      <c r="F11" s="9" t="str">
        <f>UPPER(ACENTO('Aqui Planilha'!F11))</f>
        <v/>
      </c>
      <c r="G11" s="9" t="str">
        <f>UPPER(ACENTO('Aqui Planilha'!G11))</f>
        <v/>
      </c>
      <c r="H11" s="14" t="str">
        <f>SUBSTITUTE(SUBSTITUTE(SUBSTITUTE(SUBSTITUTE(SUBSTITUTE('Aqui Planilha'!H11,"","0"),"Sn","0"),"SN","0"),"sn","0"),"sN","0")</f>
        <v/>
      </c>
      <c r="I11" s="9" t="str">
        <f>UPPER(ACENTO('Aqui Planilha'!I11))</f>
        <v/>
      </c>
      <c r="J11" s="9" t="str">
        <f>UPPER(ACENTO('Aqui Planilha'!J11))</f>
        <v/>
      </c>
      <c r="K11" s="9" t="str">
        <f>UPPER(ACENTO('Aqui Planilha'!K11))</f>
        <v/>
      </c>
      <c r="L11" s="15" t="e">
        <f>(REPT("0",11-LEN(FormulaOcult!L11))&amp;FormulaOcult!L11)</f>
        <v>#VALUE!</v>
      </c>
      <c r="M11" s="13" t="str">
        <f>SUBSTITUTE(SUBSTITUTE(SUBSTITUTE(SUBSTITUTE('Aqui Planilha'!M11, ".", ""), "-",""), ";", ""), ":", "")</f>
        <v/>
      </c>
      <c r="N11" s="12" t="e">
        <f>DATEVALUE(SUBSTITUTE(SUBSTITUTE(SUBSTITUTE(SUBSTITUTE(SUBSTITUTE('Aqui Planilha'!N11, ".", "/"), "-","/"), ";", "/"), ":", "/"), "/", "/"))</f>
        <v>#VALUE!</v>
      </c>
      <c r="O11" s="9" t="str">
        <f>UPPER(ACENTO('Aqui Planilha'!O11))</f>
        <v/>
      </c>
      <c r="P11" s="9" t="str">
        <f>UPPER(ACENTO('Aqui Planilha'!P11))</f>
        <v/>
      </c>
      <c r="Q11" s="11">
        <f>'Aqui Planilha'!Q11</f>
        <v>0</v>
      </c>
      <c r="R11" s="9" t="str">
        <f>UPPER(ACENTO('Aqui Planilha'!R11))</f>
        <v/>
      </c>
      <c r="S11" s="16" t="str">
        <f>SUBSTITUTE(SUBSTITUTE(SUBSTITUTE(SUBSTITUTE('Aqui Planilha'!S11, ".", ""), "-",""), ";", ""), ":", "")</f>
        <v/>
      </c>
      <c r="T11" s="16" t="str">
        <f>SUBSTITUTE(SUBSTITUTE(SUBSTITUTE(SUBSTITUTE('Aqui Planilha'!T11, ".", ""), "-",""), ";", ""), ":", "")</f>
        <v/>
      </c>
      <c r="U11" s="16" t="str">
        <f>SUBSTITUTE(SUBSTITUTE(SUBSTITUTE(SUBSTITUTE('Aqui Planilha'!U11, ".", ""), "-",""), ";", ""), ":", "")</f>
        <v/>
      </c>
      <c r="V11" s="16" t="str">
        <f>SUBSTITUTE(SUBSTITUTE(SUBSTITUTE(SUBSTITUTE('Aqui Planilha'!V11, ".", ""), "-",""), ";", ""), ":", "")</f>
        <v/>
      </c>
      <c r="W11" s="11" t="str">
        <f>SUBSTITUTE(SUBSTITUTE(SUBSTITUTE(SUBSTITUTE('Aqui Planilha'!W11, ".", ""), "-",""), ";", ""), ":", "")</f>
        <v/>
      </c>
    </row>
    <row r="12" spans="1:23" x14ac:dyDescent="0.25">
      <c r="A12" s="39" t="str">
        <f>UPPER(ACENTO('Aqui Planilha'!A12))</f>
        <v/>
      </c>
      <c r="B12" s="12" t="e">
        <f>DATEVALUE(SUBSTITUTE(SUBSTITUTE(SUBSTITUTE(SUBSTITUTE('Aqui Planilha'!B12, ".", "/"), "-","/"), ";", "/"), ":", "/"))</f>
        <v>#VALUE!</v>
      </c>
      <c r="C12" s="9" t="str">
        <f>UPPER('Aqui Planilha'!C12)</f>
        <v/>
      </c>
      <c r="D12" s="13" t="str">
        <f>SUBSTITUTE(SUBSTITUTE(SUBSTITUTE(SUBSTITUTE('Aqui Planilha'!D12, ".", ""), "-",""), ";", ""), ":", "")</f>
        <v/>
      </c>
      <c r="E12" s="9" t="str">
        <f>UPPER(ACENTO('Aqui Planilha'!E12))</f>
        <v/>
      </c>
      <c r="F12" s="9" t="str">
        <f>UPPER(ACENTO('Aqui Planilha'!F12))</f>
        <v/>
      </c>
      <c r="G12" s="9" t="str">
        <f>UPPER(ACENTO('Aqui Planilha'!G12))</f>
        <v/>
      </c>
      <c r="H12" s="14" t="str">
        <f>SUBSTITUTE(SUBSTITUTE(SUBSTITUTE(SUBSTITUTE(SUBSTITUTE('Aqui Planilha'!H12,"","0"),"Sn","0"),"SN","0"),"sn","0"),"sN","0")</f>
        <v/>
      </c>
      <c r="I12" s="9" t="str">
        <f>UPPER(ACENTO('Aqui Planilha'!I12))</f>
        <v/>
      </c>
      <c r="J12" s="9" t="str">
        <f>UPPER(ACENTO('Aqui Planilha'!J12))</f>
        <v/>
      </c>
      <c r="K12" s="9" t="str">
        <f>UPPER(ACENTO('Aqui Planilha'!K12))</f>
        <v/>
      </c>
      <c r="L12" s="15" t="e">
        <f>(REPT("0",11-LEN(FormulaOcult!L12))&amp;FormulaOcult!L12)</f>
        <v>#VALUE!</v>
      </c>
      <c r="M12" s="13" t="str">
        <f>SUBSTITUTE(SUBSTITUTE(SUBSTITUTE(SUBSTITUTE('Aqui Planilha'!M12, ".", ""), "-",""), ";", ""), ":", "")</f>
        <v/>
      </c>
      <c r="N12" s="12" t="e">
        <f>DATEVALUE(SUBSTITUTE(SUBSTITUTE(SUBSTITUTE(SUBSTITUTE(SUBSTITUTE('Aqui Planilha'!N12, ".", "/"), "-","/"), ";", "/"), ":", "/"), "/", "/"))</f>
        <v>#VALUE!</v>
      </c>
      <c r="O12" s="9" t="str">
        <f>UPPER(ACENTO('Aqui Planilha'!O12))</f>
        <v/>
      </c>
      <c r="P12" s="9" t="str">
        <f>UPPER(ACENTO('Aqui Planilha'!P12))</f>
        <v/>
      </c>
      <c r="Q12" s="11">
        <f>'Aqui Planilha'!Q12</f>
        <v>0</v>
      </c>
      <c r="R12" s="9" t="str">
        <f>UPPER(ACENTO('Aqui Planilha'!R12))</f>
        <v/>
      </c>
      <c r="S12" s="16" t="str">
        <f>SUBSTITUTE(SUBSTITUTE(SUBSTITUTE(SUBSTITUTE('Aqui Planilha'!S12, ".", ""), "-",""), ";", ""), ":", "")</f>
        <v/>
      </c>
      <c r="T12" s="16" t="str">
        <f>SUBSTITUTE(SUBSTITUTE(SUBSTITUTE(SUBSTITUTE('Aqui Planilha'!T12, ".", ""), "-",""), ";", ""), ":", "")</f>
        <v/>
      </c>
      <c r="U12" s="16" t="str">
        <f>SUBSTITUTE(SUBSTITUTE(SUBSTITUTE(SUBSTITUTE('Aqui Planilha'!U12, ".", ""), "-",""), ";", ""), ":", "")</f>
        <v/>
      </c>
      <c r="V12" s="16" t="str">
        <f>SUBSTITUTE(SUBSTITUTE(SUBSTITUTE(SUBSTITUTE('Aqui Planilha'!V12, ".", ""), "-",""), ";", ""), ":", "")</f>
        <v/>
      </c>
      <c r="W12" s="11" t="str">
        <f>SUBSTITUTE(SUBSTITUTE(SUBSTITUTE(SUBSTITUTE('Aqui Planilha'!W12, ".", ""), "-",""), ";", ""), ":", "")</f>
        <v/>
      </c>
    </row>
    <row r="13" spans="1:23" x14ac:dyDescent="0.25">
      <c r="A13" s="39" t="str">
        <f>UPPER(ACENTO('Aqui Planilha'!A13))</f>
        <v/>
      </c>
      <c r="B13" s="12" t="e">
        <f>DATEVALUE(SUBSTITUTE(SUBSTITUTE(SUBSTITUTE(SUBSTITUTE('Aqui Planilha'!B13, ".", "/"), "-","/"), ";", "/"), ":", "/"))</f>
        <v>#VALUE!</v>
      </c>
      <c r="C13" s="9" t="str">
        <f>UPPER('Aqui Planilha'!C13)</f>
        <v/>
      </c>
      <c r="D13" s="13" t="str">
        <f>SUBSTITUTE(SUBSTITUTE(SUBSTITUTE(SUBSTITUTE('Aqui Planilha'!D13, ".", ""), "-",""), ";", ""), ":", "")</f>
        <v/>
      </c>
      <c r="E13" s="9" t="str">
        <f>UPPER(ACENTO('Aqui Planilha'!E13))</f>
        <v/>
      </c>
      <c r="F13" s="9" t="str">
        <f>UPPER(ACENTO('Aqui Planilha'!F13))</f>
        <v/>
      </c>
      <c r="G13" s="9" t="str">
        <f>UPPER(ACENTO('Aqui Planilha'!G13))</f>
        <v/>
      </c>
      <c r="H13" s="14" t="str">
        <f>SUBSTITUTE(SUBSTITUTE(SUBSTITUTE(SUBSTITUTE(SUBSTITUTE('Aqui Planilha'!H13,"","0"),"Sn","0"),"SN","0"),"sn","0"),"sN","0")</f>
        <v/>
      </c>
      <c r="I13" s="9" t="str">
        <f>UPPER(ACENTO('Aqui Planilha'!I13))</f>
        <v/>
      </c>
      <c r="J13" s="9" t="str">
        <f>UPPER(ACENTO('Aqui Planilha'!J13))</f>
        <v/>
      </c>
      <c r="K13" s="9" t="str">
        <f>UPPER(ACENTO('Aqui Planilha'!K13))</f>
        <v/>
      </c>
      <c r="L13" s="15" t="e">
        <f>(REPT("0",11-LEN(FormulaOcult!L13))&amp;FormulaOcult!L13)</f>
        <v>#VALUE!</v>
      </c>
      <c r="M13" s="13" t="str">
        <f>SUBSTITUTE(SUBSTITUTE(SUBSTITUTE(SUBSTITUTE('Aqui Planilha'!M13, ".", ""), "-",""), ";", ""), ":", "")</f>
        <v/>
      </c>
      <c r="N13" s="12" t="e">
        <f>DATEVALUE(SUBSTITUTE(SUBSTITUTE(SUBSTITUTE(SUBSTITUTE(SUBSTITUTE('Aqui Planilha'!N13, ".", "/"), "-","/"), ";", "/"), ":", "/"), "/", "/"))</f>
        <v>#VALUE!</v>
      </c>
      <c r="O13" s="9" t="str">
        <f>UPPER(ACENTO('Aqui Planilha'!O13))</f>
        <v/>
      </c>
      <c r="P13" s="9" t="str">
        <f>UPPER(ACENTO('Aqui Planilha'!P13))</f>
        <v/>
      </c>
      <c r="Q13" s="11">
        <f>'Aqui Planilha'!Q13</f>
        <v>0</v>
      </c>
      <c r="R13" s="9" t="str">
        <f>UPPER(ACENTO('Aqui Planilha'!R13))</f>
        <v/>
      </c>
      <c r="S13" s="16" t="str">
        <f>SUBSTITUTE(SUBSTITUTE(SUBSTITUTE(SUBSTITUTE('Aqui Planilha'!S13, ".", ""), "-",""), ";", ""), ":", "")</f>
        <v/>
      </c>
      <c r="T13" s="16" t="str">
        <f>SUBSTITUTE(SUBSTITUTE(SUBSTITUTE(SUBSTITUTE('Aqui Planilha'!T13, ".", ""), "-",""), ";", ""), ":", "")</f>
        <v/>
      </c>
      <c r="U13" s="16" t="str">
        <f>SUBSTITUTE(SUBSTITUTE(SUBSTITUTE(SUBSTITUTE('Aqui Planilha'!U13, ".", ""), "-",""), ";", ""), ":", "")</f>
        <v/>
      </c>
      <c r="V13" s="16" t="str">
        <f>SUBSTITUTE(SUBSTITUTE(SUBSTITUTE(SUBSTITUTE('Aqui Planilha'!V13, ".", ""), "-",""), ";", ""), ":", "")</f>
        <v/>
      </c>
      <c r="W13" s="11" t="str">
        <f>SUBSTITUTE(SUBSTITUTE(SUBSTITUTE(SUBSTITUTE('Aqui Planilha'!W13, ".", ""), "-",""), ";", ""), ":", "")</f>
        <v/>
      </c>
    </row>
    <row r="14" spans="1:23" x14ac:dyDescent="0.25">
      <c r="A14" s="39" t="str">
        <f>UPPER(ACENTO('Aqui Planilha'!A14))</f>
        <v/>
      </c>
      <c r="B14" s="12" t="e">
        <f>DATEVALUE(SUBSTITUTE(SUBSTITUTE(SUBSTITUTE(SUBSTITUTE('Aqui Planilha'!B14, ".", "/"), "-","/"), ";", "/"), ":", "/"))</f>
        <v>#VALUE!</v>
      </c>
      <c r="C14" s="9" t="str">
        <f>UPPER('Aqui Planilha'!C14)</f>
        <v/>
      </c>
      <c r="D14" s="13" t="str">
        <f>SUBSTITUTE(SUBSTITUTE(SUBSTITUTE(SUBSTITUTE('Aqui Planilha'!D14, ".", ""), "-",""), ";", ""), ":", "")</f>
        <v/>
      </c>
      <c r="E14" s="9" t="str">
        <f>UPPER(ACENTO('Aqui Planilha'!E14))</f>
        <v/>
      </c>
      <c r="F14" s="9" t="str">
        <f>UPPER(ACENTO('Aqui Planilha'!F14))</f>
        <v/>
      </c>
      <c r="G14" s="9" t="str">
        <f>UPPER(ACENTO('Aqui Planilha'!G14))</f>
        <v/>
      </c>
      <c r="H14" s="14" t="str">
        <f>SUBSTITUTE(SUBSTITUTE(SUBSTITUTE(SUBSTITUTE(SUBSTITUTE('Aqui Planilha'!H14,"","0"),"Sn","0"),"SN","0"),"sn","0"),"sN","0")</f>
        <v/>
      </c>
      <c r="I14" s="9" t="str">
        <f>UPPER(ACENTO('Aqui Planilha'!I14))</f>
        <v/>
      </c>
      <c r="J14" s="9" t="str">
        <f>UPPER(ACENTO('Aqui Planilha'!J14))</f>
        <v/>
      </c>
      <c r="K14" s="9" t="str">
        <f>UPPER(ACENTO('Aqui Planilha'!K14))</f>
        <v/>
      </c>
      <c r="L14" s="15" t="e">
        <f>(REPT("0",11-LEN(FormulaOcult!L14))&amp;FormulaOcult!L14)</f>
        <v>#VALUE!</v>
      </c>
      <c r="M14" s="13" t="str">
        <f>SUBSTITUTE(SUBSTITUTE(SUBSTITUTE(SUBSTITUTE('Aqui Planilha'!M14, ".", ""), "-",""), ";", ""), ":", "")</f>
        <v/>
      </c>
      <c r="N14" s="12" t="e">
        <f>DATEVALUE(SUBSTITUTE(SUBSTITUTE(SUBSTITUTE(SUBSTITUTE(SUBSTITUTE('Aqui Planilha'!N14, ".", "/"), "-","/"), ";", "/"), ":", "/"), "/", "/"))</f>
        <v>#VALUE!</v>
      </c>
      <c r="O14" s="9" t="str">
        <f>UPPER(ACENTO('Aqui Planilha'!O14))</f>
        <v/>
      </c>
      <c r="P14" s="9" t="str">
        <f>UPPER(ACENTO('Aqui Planilha'!P14))</f>
        <v/>
      </c>
      <c r="Q14" s="11">
        <f>'Aqui Planilha'!Q14</f>
        <v>0</v>
      </c>
      <c r="R14" s="9" t="str">
        <f>UPPER(ACENTO('Aqui Planilha'!R14))</f>
        <v/>
      </c>
      <c r="S14" s="16" t="str">
        <f>SUBSTITUTE(SUBSTITUTE(SUBSTITUTE(SUBSTITUTE('Aqui Planilha'!S14, ".", ""), "-",""), ";", ""), ":", "")</f>
        <v/>
      </c>
      <c r="T14" s="16" t="str">
        <f>SUBSTITUTE(SUBSTITUTE(SUBSTITUTE(SUBSTITUTE('Aqui Planilha'!T14, ".", ""), "-",""), ";", ""), ":", "")</f>
        <v/>
      </c>
      <c r="U14" s="16" t="str">
        <f>SUBSTITUTE(SUBSTITUTE(SUBSTITUTE(SUBSTITUTE('Aqui Planilha'!U14, ".", ""), "-",""), ";", ""), ":", "")</f>
        <v/>
      </c>
      <c r="V14" s="16" t="str">
        <f>SUBSTITUTE(SUBSTITUTE(SUBSTITUTE(SUBSTITUTE('Aqui Planilha'!V14, ".", ""), "-",""), ";", ""), ":", "")</f>
        <v/>
      </c>
      <c r="W14" s="11" t="str">
        <f>SUBSTITUTE(SUBSTITUTE(SUBSTITUTE(SUBSTITUTE('Aqui Planilha'!W14, ".", ""), "-",""), ";", ""), ":", "")</f>
        <v/>
      </c>
    </row>
    <row r="15" spans="1:23" x14ac:dyDescent="0.25">
      <c r="A15" s="39" t="str">
        <f>UPPER(ACENTO('Aqui Planilha'!A15))</f>
        <v/>
      </c>
      <c r="B15" s="12" t="e">
        <f>DATEVALUE(SUBSTITUTE(SUBSTITUTE(SUBSTITUTE(SUBSTITUTE('Aqui Planilha'!B15, ".", "/"), "-","/"), ";", "/"), ":", "/"))</f>
        <v>#VALUE!</v>
      </c>
      <c r="C15" s="9" t="str">
        <f>UPPER('Aqui Planilha'!C15)</f>
        <v/>
      </c>
      <c r="D15" s="13" t="str">
        <f>SUBSTITUTE(SUBSTITUTE(SUBSTITUTE(SUBSTITUTE('Aqui Planilha'!D15, ".", ""), "-",""), ";", ""), ":", "")</f>
        <v/>
      </c>
      <c r="E15" s="9" t="str">
        <f>UPPER(ACENTO('Aqui Planilha'!E15))</f>
        <v/>
      </c>
      <c r="F15" s="9" t="str">
        <f>UPPER(ACENTO('Aqui Planilha'!F15))</f>
        <v/>
      </c>
      <c r="G15" s="9" t="str">
        <f>UPPER(ACENTO('Aqui Planilha'!G15))</f>
        <v/>
      </c>
      <c r="H15" s="14" t="str">
        <f>SUBSTITUTE(SUBSTITUTE(SUBSTITUTE(SUBSTITUTE(SUBSTITUTE('Aqui Planilha'!H15,"","0"),"Sn","0"),"SN","0"),"sn","0"),"sN","0")</f>
        <v/>
      </c>
      <c r="I15" s="9" t="str">
        <f>UPPER(ACENTO('Aqui Planilha'!I15))</f>
        <v/>
      </c>
      <c r="J15" s="9" t="str">
        <f>UPPER(ACENTO('Aqui Planilha'!J15))</f>
        <v/>
      </c>
      <c r="K15" s="9" t="str">
        <f>UPPER(ACENTO('Aqui Planilha'!K15))</f>
        <v/>
      </c>
      <c r="L15" s="15" t="e">
        <f>(REPT("0",11-LEN(FormulaOcult!L15))&amp;FormulaOcult!L15)</f>
        <v>#VALUE!</v>
      </c>
      <c r="M15" s="13" t="str">
        <f>SUBSTITUTE(SUBSTITUTE(SUBSTITUTE(SUBSTITUTE('Aqui Planilha'!M15, ".", ""), "-",""), ";", ""), ":", "")</f>
        <v/>
      </c>
      <c r="N15" s="12" t="e">
        <f>DATEVALUE(SUBSTITUTE(SUBSTITUTE(SUBSTITUTE(SUBSTITUTE(SUBSTITUTE('Aqui Planilha'!N15, ".", "/"), "-","/"), ";", "/"), ":", "/"), "/", "/"))</f>
        <v>#VALUE!</v>
      </c>
      <c r="O15" s="9" t="str">
        <f>UPPER(ACENTO('Aqui Planilha'!O15))</f>
        <v/>
      </c>
      <c r="P15" s="9" t="str">
        <f>UPPER(ACENTO('Aqui Planilha'!P15))</f>
        <v/>
      </c>
      <c r="Q15" s="11">
        <f>'Aqui Planilha'!Q15</f>
        <v>0</v>
      </c>
      <c r="R15" s="9" t="str">
        <f>UPPER(ACENTO('Aqui Planilha'!R15))</f>
        <v/>
      </c>
      <c r="S15" s="16" t="str">
        <f>SUBSTITUTE(SUBSTITUTE(SUBSTITUTE(SUBSTITUTE('Aqui Planilha'!S15, ".", ""), "-",""), ";", ""), ":", "")</f>
        <v/>
      </c>
      <c r="T15" s="16" t="str">
        <f>SUBSTITUTE(SUBSTITUTE(SUBSTITUTE(SUBSTITUTE('Aqui Planilha'!T15, ".", ""), "-",""), ";", ""), ":", "")</f>
        <v/>
      </c>
      <c r="U15" s="16" t="str">
        <f>SUBSTITUTE(SUBSTITUTE(SUBSTITUTE(SUBSTITUTE('Aqui Planilha'!U15, ".", ""), "-",""), ";", ""), ":", "")</f>
        <v/>
      </c>
      <c r="V15" s="16" t="str">
        <f>SUBSTITUTE(SUBSTITUTE(SUBSTITUTE(SUBSTITUTE('Aqui Planilha'!V15, ".", ""), "-",""), ";", ""), ":", "")</f>
        <v/>
      </c>
      <c r="W15" s="11" t="str">
        <f>SUBSTITUTE(SUBSTITUTE(SUBSTITUTE(SUBSTITUTE('Aqui Planilha'!W15, ".", ""), "-",""), ";", ""), ":", "")</f>
        <v/>
      </c>
    </row>
    <row r="16" spans="1:23" x14ac:dyDescent="0.25">
      <c r="A16" s="39" t="str">
        <f>UPPER(ACENTO('Aqui Planilha'!A16))</f>
        <v/>
      </c>
      <c r="B16" s="12" t="e">
        <f>DATEVALUE(SUBSTITUTE(SUBSTITUTE(SUBSTITUTE(SUBSTITUTE('Aqui Planilha'!B16, ".", "/"), "-","/"), ";", "/"), ":", "/"))</f>
        <v>#VALUE!</v>
      </c>
      <c r="C16" s="9" t="str">
        <f>UPPER('Aqui Planilha'!C16)</f>
        <v/>
      </c>
      <c r="D16" s="13" t="str">
        <f>SUBSTITUTE(SUBSTITUTE(SUBSTITUTE(SUBSTITUTE('Aqui Planilha'!D16, ".", ""), "-",""), ";", ""), ":", "")</f>
        <v/>
      </c>
      <c r="E16" s="9" t="str">
        <f>UPPER(ACENTO('Aqui Planilha'!E16))</f>
        <v/>
      </c>
      <c r="F16" s="9" t="str">
        <f>UPPER(ACENTO('Aqui Planilha'!F16))</f>
        <v/>
      </c>
      <c r="G16" s="9" t="str">
        <f>UPPER(ACENTO('Aqui Planilha'!G16))</f>
        <v/>
      </c>
      <c r="H16" s="14" t="str">
        <f>SUBSTITUTE(SUBSTITUTE(SUBSTITUTE(SUBSTITUTE(SUBSTITUTE('Aqui Planilha'!H16,"","0"),"Sn","0"),"SN","0"),"sn","0"),"sN","0")</f>
        <v/>
      </c>
      <c r="I16" s="9" t="str">
        <f>UPPER(ACENTO('Aqui Planilha'!I16))</f>
        <v/>
      </c>
      <c r="J16" s="9" t="str">
        <f>UPPER(ACENTO('Aqui Planilha'!J16))</f>
        <v/>
      </c>
      <c r="K16" s="9" t="str">
        <f>UPPER(ACENTO('Aqui Planilha'!K16))</f>
        <v/>
      </c>
      <c r="L16" s="15" t="e">
        <f>(REPT("0",11-LEN(FormulaOcult!L16))&amp;FormulaOcult!L16)</f>
        <v>#VALUE!</v>
      </c>
      <c r="M16" s="13" t="str">
        <f>SUBSTITUTE(SUBSTITUTE(SUBSTITUTE(SUBSTITUTE('Aqui Planilha'!M16, ".", ""), "-",""), ";", ""), ":", "")</f>
        <v/>
      </c>
      <c r="N16" s="12" t="e">
        <f>DATEVALUE(SUBSTITUTE(SUBSTITUTE(SUBSTITUTE(SUBSTITUTE(SUBSTITUTE('Aqui Planilha'!N16, ".", "/"), "-","/"), ";", "/"), ":", "/"), "/", "/"))</f>
        <v>#VALUE!</v>
      </c>
      <c r="O16" s="9" t="str">
        <f>UPPER(ACENTO('Aqui Planilha'!O16))</f>
        <v/>
      </c>
      <c r="P16" s="9" t="str">
        <f>UPPER(ACENTO('Aqui Planilha'!P16))</f>
        <v/>
      </c>
      <c r="Q16" s="11">
        <f>'Aqui Planilha'!Q16</f>
        <v>0</v>
      </c>
      <c r="R16" s="9" t="str">
        <f>UPPER(ACENTO('Aqui Planilha'!R16))</f>
        <v/>
      </c>
      <c r="S16" s="16" t="str">
        <f>SUBSTITUTE(SUBSTITUTE(SUBSTITUTE(SUBSTITUTE('Aqui Planilha'!S16, ".", ""), "-",""), ";", ""), ":", "")</f>
        <v/>
      </c>
      <c r="T16" s="16" t="str">
        <f>SUBSTITUTE(SUBSTITUTE(SUBSTITUTE(SUBSTITUTE('Aqui Planilha'!T16, ".", ""), "-",""), ";", ""), ":", "")</f>
        <v/>
      </c>
      <c r="U16" s="16" t="str">
        <f>SUBSTITUTE(SUBSTITUTE(SUBSTITUTE(SUBSTITUTE('Aqui Planilha'!U16, ".", ""), "-",""), ";", ""), ":", "")</f>
        <v/>
      </c>
      <c r="V16" s="16" t="str">
        <f>SUBSTITUTE(SUBSTITUTE(SUBSTITUTE(SUBSTITUTE('Aqui Planilha'!V16, ".", ""), "-",""), ";", ""), ":", "")</f>
        <v/>
      </c>
      <c r="W16" s="11" t="str">
        <f>SUBSTITUTE(SUBSTITUTE(SUBSTITUTE(SUBSTITUTE('Aqui Planilha'!W16, ".", ""), "-",""), ";", ""), ":", "")</f>
        <v/>
      </c>
    </row>
    <row r="17" spans="1:23" x14ac:dyDescent="0.25">
      <c r="A17" s="39" t="str">
        <f>UPPER(ACENTO('Aqui Planilha'!A17))</f>
        <v/>
      </c>
      <c r="B17" s="12" t="e">
        <f>DATEVALUE(SUBSTITUTE(SUBSTITUTE(SUBSTITUTE(SUBSTITUTE('Aqui Planilha'!B17, ".", "/"), "-","/"), ";", "/"), ":", "/"))</f>
        <v>#VALUE!</v>
      </c>
      <c r="C17" s="9" t="str">
        <f>UPPER('Aqui Planilha'!C17)</f>
        <v/>
      </c>
      <c r="D17" s="13" t="str">
        <f>SUBSTITUTE(SUBSTITUTE(SUBSTITUTE(SUBSTITUTE('Aqui Planilha'!D17, ".", ""), "-",""), ";", ""), ":", "")</f>
        <v/>
      </c>
      <c r="E17" s="9" t="str">
        <f>UPPER(ACENTO('Aqui Planilha'!E17))</f>
        <v/>
      </c>
      <c r="F17" s="9" t="str">
        <f>UPPER(ACENTO('Aqui Planilha'!F17))</f>
        <v/>
      </c>
      <c r="G17" s="9" t="str">
        <f>UPPER(ACENTO('Aqui Planilha'!G17))</f>
        <v/>
      </c>
      <c r="H17" s="14" t="str">
        <f>SUBSTITUTE(SUBSTITUTE(SUBSTITUTE(SUBSTITUTE(SUBSTITUTE('Aqui Planilha'!H17,"","0"),"Sn","0"),"SN","0"),"sn","0"),"sN","0")</f>
        <v/>
      </c>
      <c r="I17" s="9" t="str">
        <f>UPPER(ACENTO('Aqui Planilha'!I17))</f>
        <v/>
      </c>
      <c r="J17" s="9" t="str">
        <f>UPPER(ACENTO('Aqui Planilha'!J17))</f>
        <v/>
      </c>
      <c r="K17" s="9" t="str">
        <f>UPPER(ACENTO('Aqui Planilha'!K17))</f>
        <v/>
      </c>
      <c r="L17" s="15" t="e">
        <f>(REPT("0",11-LEN(FormulaOcult!L17))&amp;FormulaOcult!L17)</f>
        <v>#VALUE!</v>
      </c>
      <c r="M17" s="13" t="str">
        <f>SUBSTITUTE(SUBSTITUTE(SUBSTITUTE(SUBSTITUTE('Aqui Planilha'!M17, ".", ""), "-",""), ";", ""), ":", "")</f>
        <v/>
      </c>
      <c r="N17" s="12" t="e">
        <f>DATEVALUE(SUBSTITUTE(SUBSTITUTE(SUBSTITUTE(SUBSTITUTE(SUBSTITUTE('Aqui Planilha'!N17, ".", "/"), "-","/"), ";", "/"), ":", "/"), "/", "/"))</f>
        <v>#VALUE!</v>
      </c>
      <c r="O17" s="9" t="str">
        <f>UPPER(ACENTO('Aqui Planilha'!O17))</f>
        <v/>
      </c>
      <c r="P17" s="9" t="str">
        <f>UPPER(ACENTO('Aqui Planilha'!P17))</f>
        <v/>
      </c>
      <c r="Q17" s="11">
        <f>'Aqui Planilha'!Q17</f>
        <v>0</v>
      </c>
      <c r="R17" s="9" t="str">
        <f>UPPER(ACENTO('Aqui Planilha'!R17))</f>
        <v/>
      </c>
      <c r="S17" s="16" t="str">
        <f>SUBSTITUTE(SUBSTITUTE(SUBSTITUTE(SUBSTITUTE('Aqui Planilha'!S17, ".", ""), "-",""), ";", ""), ":", "")</f>
        <v/>
      </c>
      <c r="T17" s="16" t="str">
        <f>SUBSTITUTE(SUBSTITUTE(SUBSTITUTE(SUBSTITUTE('Aqui Planilha'!T17, ".", ""), "-",""), ";", ""), ":", "")</f>
        <v/>
      </c>
      <c r="U17" s="16" t="str">
        <f>SUBSTITUTE(SUBSTITUTE(SUBSTITUTE(SUBSTITUTE('Aqui Planilha'!U17, ".", ""), "-",""), ";", ""), ":", "")</f>
        <v/>
      </c>
      <c r="V17" s="16" t="str">
        <f>SUBSTITUTE(SUBSTITUTE(SUBSTITUTE(SUBSTITUTE('Aqui Planilha'!V17, ".", ""), "-",""), ";", ""), ":", "")</f>
        <v/>
      </c>
      <c r="W17" s="11" t="str">
        <f>SUBSTITUTE(SUBSTITUTE(SUBSTITUTE(SUBSTITUTE('Aqui Planilha'!W17, ".", ""), "-",""), ";", ""), ":", "")</f>
        <v/>
      </c>
    </row>
    <row r="18" spans="1:23" x14ac:dyDescent="0.25">
      <c r="A18" s="39" t="str">
        <f>UPPER(ACENTO('Aqui Planilha'!A18))</f>
        <v/>
      </c>
      <c r="B18" s="12" t="e">
        <f>DATEVALUE(SUBSTITUTE(SUBSTITUTE(SUBSTITUTE(SUBSTITUTE('Aqui Planilha'!B18, ".", "/"), "-","/"), ";", "/"), ":", "/"))</f>
        <v>#VALUE!</v>
      </c>
      <c r="C18" s="9" t="str">
        <f>UPPER('Aqui Planilha'!C18)</f>
        <v/>
      </c>
      <c r="D18" s="13" t="str">
        <f>SUBSTITUTE(SUBSTITUTE(SUBSTITUTE(SUBSTITUTE('Aqui Planilha'!D18, ".", ""), "-",""), ";", ""), ":", "")</f>
        <v/>
      </c>
      <c r="E18" s="9" t="str">
        <f>UPPER(ACENTO('Aqui Planilha'!E18))</f>
        <v/>
      </c>
      <c r="F18" s="9" t="str">
        <f>UPPER(ACENTO('Aqui Planilha'!F18))</f>
        <v/>
      </c>
      <c r="G18" s="9" t="str">
        <f>UPPER(ACENTO('Aqui Planilha'!G18))</f>
        <v/>
      </c>
      <c r="H18" s="14" t="str">
        <f>SUBSTITUTE(SUBSTITUTE(SUBSTITUTE(SUBSTITUTE(SUBSTITUTE('Aqui Planilha'!H18,"","0"),"Sn","0"),"SN","0"),"sn","0"),"sN","0")</f>
        <v/>
      </c>
      <c r="I18" s="9" t="str">
        <f>UPPER(ACENTO('Aqui Planilha'!I18))</f>
        <v/>
      </c>
      <c r="J18" s="9" t="str">
        <f>UPPER(ACENTO('Aqui Planilha'!J18))</f>
        <v/>
      </c>
      <c r="K18" s="9" t="str">
        <f>UPPER(ACENTO('Aqui Planilha'!K18))</f>
        <v/>
      </c>
      <c r="L18" s="15" t="e">
        <f>(REPT("0",11-LEN(FormulaOcult!L18))&amp;FormulaOcult!L18)</f>
        <v>#VALUE!</v>
      </c>
      <c r="M18" s="13" t="str">
        <f>SUBSTITUTE(SUBSTITUTE(SUBSTITUTE(SUBSTITUTE('Aqui Planilha'!M18, ".", ""), "-",""), ";", ""), ":", "")</f>
        <v/>
      </c>
      <c r="N18" s="12" t="e">
        <f>DATEVALUE(SUBSTITUTE(SUBSTITUTE(SUBSTITUTE(SUBSTITUTE(SUBSTITUTE('Aqui Planilha'!N18, ".", "/"), "-","/"), ";", "/"), ":", "/"), "/", "/"))</f>
        <v>#VALUE!</v>
      </c>
      <c r="O18" s="9" t="str">
        <f>UPPER(ACENTO('Aqui Planilha'!O18))</f>
        <v/>
      </c>
      <c r="P18" s="9" t="str">
        <f>UPPER(ACENTO('Aqui Planilha'!P18))</f>
        <v/>
      </c>
      <c r="Q18" s="11">
        <f>'Aqui Planilha'!Q18</f>
        <v>0</v>
      </c>
      <c r="R18" s="9" t="str">
        <f>UPPER(ACENTO('Aqui Planilha'!R18))</f>
        <v/>
      </c>
      <c r="S18" s="16" t="str">
        <f>SUBSTITUTE(SUBSTITUTE(SUBSTITUTE(SUBSTITUTE('Aqui Planilha'!S18, ".", ""), "-",""), ";", ""), ":", "")</f>
        <v/>
      </c>
      <c r="T18" s="16" t="str">
        <f>SUBSTITUTE(SUBSTITUTE(SUBSTITUTE(SUBSTITUTE('Aqui Planilha'!T18, ".", ""), "-",""), ";", ""), ":", "")</f>
        <v/>
      </c>
      <c r="U18" s="16" t="str">
        <f>SUBSTITUTE(SUBSTITUTE(SUBSTITUTE(SUBSTITUTE('Aqui Planilha'!U18, ".", ""), "-",""), ";", ""), ":", "")</f>
        <v/>
      </c>
      <c r="V18" s="16" t="str">
        <f>SUBSTITUTE(SUBSTITUTE(SUBSTITUTE(SUBSTITUTE('Aqui Planilha'!V18, ".", ""), "-",""), ";", ""), ":", "")</f>
        <v/>
      </c>
      <c r="W18" s="11" t="str">
        <f>SUBSTITUTE(SUBSTITUTE(SUBSTITUTE(SUBSTITUTE('Aqui Planilha'!W18, ".", ""), "-",""), ";", ""), ":", "")</f>
        <v/>
      </c>
    </row>
    <row r="19" spans="1:23" x14ac:dyDescent="0.25">
      <c r="A19" s="39" t="str">
        <f>UPPER(ACENTO('Aqui Planilha'!A19))</f>
        <v/>
      </c>
      <c r="B19" s="12" t="e">
        <f>DATEVALUE(SUBSTITUTE(SUBSTITUTE(SUBSTITUTE(SUBSTITUTE('Aqui Planilha'!B19, ".", "/"), "-","/"), ";", "/"), ":", "/"))</f>
        <v>#VALUE!</v>
      </c>
      <c r="C19" s="9" t="str">
        <f>UPPER('Aqui Planilha'!C19)</f>
        <v/>
      </c>
      <c r="D19" s="13" t="str">
        <f>SUBSTITUTE(SUBSTITUTE(SUBSTITUTE(SUBSTITUTE('Aqui Planilha'!D19, ".", ""), "-",""), ";", ""), ":", "")</f>
        <v/>
      </c>
      <c r="E19" s="9" t="str">
        <f>UPPER(ACENTO('Aqui Planilha'!E19))</f>
        <v/>
      </c>
      <c r="F19" s="9" t="str">
        <f>UPPER(ACENTO('Aqui Planilha'!F19))</f>
        <v/>
      </c>
      <c r="G19" s="9" t="str">
        <f>UPPER(ACENTO('Aqui Planilha'!G19))</f>
        <v/>
      </c>
      <c r="H19" s="14" t="str">
        <f>SUBSTITUTE(SUBSTITUTE(SUBSTITUTE(SUBSTITUTE(SUBSTITUTE('Aqui Planilha'!H19,"","0"),"Sn","0"),"SN","0"),"sn","0"),"sN","0")</f>
        <v/>
      </c>
      <c r="I19" s="9" t="str">
        <f>UPPER(ACENTO('Aqui Planilha'!I19))</f>
        <v/>
      </c>
      <c r="J19" s="9" t="str">
        <f>UPPER(ACENTO('Aqui Planilha'!J19))</f>
        <v/>
      </c>
      <c r="K19" s="9" t="str">
        <f>UPPER(ACENTO('Aqui Planilha'!K19))</f>
        <v/>
      </c>
      <c r="L19" s="15" t="e">
        <f>(REPT("0",11-LEN(FormulaOcult!L19))&amp;FormulaOcult!L19)</f>
        <v>#VALUE!</v>
      </c>
      <c r="M19" s="13" t="str">
        <f>SUBSTITUTE(SUBSTITUTE(SUBSTITUTE(SUBSTITUTE('Aqui Planilha'!M19, ".", ""), "-",""), ";", ""), ":", "")</f>
        <v/>
      </c>
      <c r="N19" s="12" t="e">
        <f>DATEVALUE(SUBSTITUTE(SUBSTITUTE(SUBSTITUTE(SUBSTITUTE(SUBSTITUTE('Aqui Planilha'!N19, ".", "/"), "-","/"), ";", "/"), ":", "/"), "/", "/"))</f>
        <v>#VALUE!</v>
      </c>
      <c r="O19" s="9" t="str">
        <f>UPPER(ACENTO('Aqui Planilha'!O19))</f>
        <v/>
      </c>
      <c r="P19" s="9" t="str">
        <f>UPPER(ACENTO('Aqui Planilha'!P19))</f>
        <v/>
      </c>
      <c r="Q19" s="11">
        <f>'Aqui Planilha'!Q19</f>
        <v>0</v>
      </c>
      <c r="R19" s="9" t="str">
        <f>UPPER(ACENTO('Aqui Planilha'!R19))</f>
        <v/>
      </c>
      <c r="S19" s="16" t="str">
        <f>SUBSTITUTE(SUBSTITUTE(SUBSTITUTE(SUBSTITUTE('Aqui Planilha'!S19, ".", ""), "-",""), ";", ""), ":", "")</f>
        <v/>
      </c>
      <c r="T19" s="16" t="str">
        <f>SUBSTITUTE(SUBSTITUTE(SUBSTITUTE(SUBSTITUTE('Aqui Planilha'!T19, ".", ""), "-",""), ";", ""), ":", "")</f>
        <v/>
      </c>
      <c r="U19" s="16" t="str">
        <f>SUBSTITUTE(SUBSTITUTE(SUBSTITUTE(SUBSTITUTE('Aqui Planilha'!U19, ".", ""), "-",""), ";", ""), ":", "")</f>
        <v/>
      </c>
      <c r="V19" s="16" t="str">
        <f>SUBSTITUTE(SUBSTITUTE(SUBSTITUTE(SUBSTITUTE('Aqui Planilha'!V19, ".", ""), "-",""), ";", ""), ":", "")</f>
        <v/>
      </c>
      <c r="W19" s="11" t="str">
        <f>SUBSTITUTE(SUBSTITUTE(SUBSTITUTE(SUBSTITUTE('Aqui Planilha'!W19, ".", ""), "-",""), ";", ""), ":", "")</f>
        <v/>
      </c>
    </row>
    <row r="20" spans="1:23" x14ac:dyDescent="0.25">
      <c r="A20" s="39" t="str">
        <f>UPPER(ACENTO('Aqui Planilha'!A20))</f>
        <v/>
      </c>
      <c r="B20" s="12" t="e">
        <f>DATEVALUE(SUBSTITUTE(SUBSTITUTE(SUBSTITUTE(SUBSTITUTE('Aqui Planilha'!B20, ".", "/"), "-","/"), ";", "/"), ":", "/"))</f>
        <v>#VALUE!</v>
      </c>
      <c r="C20" s="9" t="str">
        <f>UPPER('Aqui Planilha'!C20)</f>
        <v/>
      </c>
      <c r="D20" s="13" t="str">
        <f>SUBSTITUTE(SUBSTITUTE(SUBSTITUTE(SUBSTITUTE('Aqui Planilha'!D20, ".", ""), "-",""), ";", ""), ":", "")</f>
        <v/>
      </c>
      <c r="E20" s="9" t="str">
        <f>UPPER(ACENTO('Aqui Planilha'!E20))</f>
        <v/>
      </c>
      <c r="F20" s="9" t="str">
        <f>UPPER(ACENTO('Aqui Planilha'!F20))</f>
        <v/>
      </c>
      <c r="G20" s="9" t="str">
        <f>UPPER(ACENTO('Aqui Planilha'!G20))</f>
        <v/>
      </c>
      <c r="H20" s="14" t="str">
        <f>SUBSTITUTE(SUBSTITUTE(SUBSTITUTE(SUBSTITUTE(SUBSTITUTE('Aqui Planilha'!H20,"","0"),"Sn","0"),"SN","0"),"sn","0"),"sN","0")</f>
        <v/>
      </c>
      <c r="I20" s="9" t="str">
        <f>UPPER(ACENTO('Aqui Planilha'!I20))</f>
        <v/>
      </c>
      <c r="J20" s="9" t="str">
        <f>UPPER(ACENTO('Aqui Planilha'!J20))</f>
        <v/>
      </c>
      <c r="K20" s="9" t="str">
        <f>UPPER(ACENTO('Aqui Planilha'!K20))</f>
        <v/>
      </c>
      <c r="L20" s="15" t="e">
        <f>(REPT("0",11-LEN(FormulaOcult!L20))&amp;FormulaOcult!L20)</f>
        <v>#VALUE!</v>
      </c>
      <c r="M20" s="13" t="str">
        <f>SUBSTITUTE(SUBSTITUTE(SUBSTITUTE(SUBSTITUTE('Aqui Planilha'!M20, ".", ""), "-",""), ";", ""), ":", "")</f>
        <v/>
      </c>
      <c r="N20" s="12" t="e">
        <f>DATEVALUE(SUBSTITUTE(SUBSTITUTE(SUBSTITUTE(SUBSTITUTE(SUBSTITUTE('Aqui Planilha'!N20, ".", "/"), "-","/"), ";", "/"), ":", "/"), "/", "/"))</f>
        <v>#VALUE!</v>
      </c>
      <c r="O20" s="9" t="str">
        <f>UPPER(ACENTO('Aqui Planilha'!O20))</f>
        <v/>
      </c>
      <c r="P20" s="9" t="str">
        <f>UPPER(ACENTO('Aqui Planilha'!P20))</f>
        <v/>
      </c>
      <c r="Q20" s="11">
        <f>'Aqui Planilha'!Q20</f>
        <v>0</v>
      </c>
      <c r="R20" s="9" t="str">
        <f>UPPER(ACENTO('Aqui Planilha'!R20))</f>
        <v/>
      </c>
      <c r="S20" s="16" t="str">
        <f>SUBSTITUTE(SUBSTITUTE(SUBSTITUTE(SUBSTITUTE('Aqui Planilha'!S20, ".", ""), "-",""), ";", ""), ":", "")</f>
        <v/>
      </c>
      <c r="T20" s="16" t="str">
        <f>SUBSTITUTE(SUBSTITUTE(SUBSTITUTE(SUBSTITUTE('Aqui Planilha'!T20, ".", ""), "-",""), ";", ""), ":", "")</f>
        <v/>
      </c>
      <c r="U20" s="16" t="str">
        <f>SUBSTITUTE(SUBSTITUTE(SUBSTITUTE(SUBSTITUTE('Aqui Planilha'!U20, ".", ""), "-",""), ";", ""), ":", "")</f>
        <v/>
      </c>
      <c r="V20" s="16" t="str">
        <f>SUBSTITUTE(SUBSTITUTE(SUBSTITUTE(SUBSTITUTE('Aqui Planilha'!V20, ".", ""), "-",""), ";", ""), ":", "")</f>
        <v/>
      </c>
      <c r="W20" s="11" t="str">
        <f>SUBSTITUTE(SUBSTITUTE(SUBSTITUTE(SUBSTITUTE('Aqui Planilha'!W20, ".", ""), "-",""), ";", ""), ":", "")</f>
        <v/>
      </c>
    </row>
    <row r="21" spans="1:23" x14ac:dyDescent="0.25">
      <c r="A21" s="39" t="str">
        <f>UPPER(ACENTO('Aqui Planilha'!A21))</f>
        <v/>
      </c>
      <c r="B21" s="12" t="e">
        <f>DATEVALUE(SUBSTITUTE(SUBSTITUTE(SUBSTITUTE(SUBSTITUTE('Aqui Planilha'!B21, ".", "/"), "-","/"), ";", "/"), ":", "/"))</f>
        <v>#VALUE!</v>
      </c>
      <c r="C21" s="9" t="str">
        <f>UPPER('Aqui Planilha'!C21)</f>
        <v/>
      </c>
      <c r="D21" s="13" t="str">
        <f>SUBSTITUTE(SUBSTITUTE(SUBSTITUTE(SUBSTITUTE('Aqui Planilha'!D21, ".", ""), "-",""), ";", ""), ":", "")</f>
        <v/>
      </c>
      <c r="E21" s="9" t="str">
        <f>UPPER(ACENTO('Aqui Planilha'!E21))</f>
        <v/>
      </c>
      <c r="F21" s="9" t="str">
        <f>UPPER(ACENTO('Aqui Planilha'!F21))</f>
        <v/>
      </c>
      <c r="G21" s="9" t="str">
        <f>UPPER(ACENTO('Aqui Planilha'!G21))</f>
        <v/>
      </c>
      <c r="H21" s="14" t="str">
        <f>SUBSTITUTE(SUBSTITUTE(SUBSTITUTE(SUBSTITUTE(SUBSTITUTE('Aqui Planilha'!H21,"","0"),"Sn","0"),"SN","0"),"sn","0"),"sN","0")</f>
        <v/>
      </c>
      <c r="I21" s="9" t="str">
        <f>UPPER(ACENTO('Aqui Planilha'!I21))</f>
        <v/>
      </c>
      <c r="J21" s="9" t="str">
        <f>UPPER(ACENTO('Aqui Planilha'!J21))</f>
        <v/>
      </c>
      <c r="K21" s="9" t="str">
        <f>UPPER(ACENTO('Aqui Planilha'!K21))</f>
        <v/>
      </c>
      <c r="L21" s="15" t="e">
        <f>(REPT("0",11-LEN(FormulaOcult!L21))&amp;FormulaOcult!L21)</f>
        <v>#VALUE!</v>
      </c>
      <c r="M21" s="13" t="str">
        <f>SUBSTITUTE(SUBSTITUTE(SUBSTITUTE(SUBSTITUTE('Aqui Planilha'!M21, ".", ""), "-",""), ";", ""), ":", "")</f>
        <v/>
      </c>
      <c r="N21" s="12" t="e">
        <f>DATEVALUE(SUBSTITUTE(SUBSTITUTE(SUBSTITUTE(SUBSTITUTE(SUBSTITUTE('Aqui Planilha'!N21, ".", "/"), "-","/"), ";", "/"), ":", "/"), "/", "/"))</f>
        <v>#VALUE!</v>
      </c>
      <c r="O21" s="9" t="str">
        <f>UPPER(ACENTO('Aqui Planilha'!O21))</f>
        <v/>
      </c>
      <c r="P21" s="9" t="str">
        <f>UPPER(ACENTO('Aqui Planilha'!P21))</f>
        <v/>
      </c>
      <c r="Q21" s="11">
        <f>'Aqui Planilha'!Q21</f>
        <v>0</v>
      </c>
      <c r="R21" s="9" t="str">
        <f>UPPER(ACENTO('Aqui Planilha'!R21))</f>
        <v/>
      </c>
      <c r="S21" s="16" t="str">
        <f>SUBSTITUTE(SUBSTITUTE(SUBSTITUTE(SUBSTITUTE('Aqui Planilha'!S21, ".", ""), "-",""), ";", ""), ":", "")</f>
        <v/>
      </c>
      <c r="T21" s="16" t="str">
        <f>SUBSTITUTE(SUBSTITUTE(SUBSTITUTE(SUBSTITUTE('Aqui Planilha'!T21, ".", ""), "-",""), ";", ""), ":", "")</f>
        <v/>
      </c>
      <c r="U21" s="16" t="str">
        <f>SUBSTITUTE(SUBSTITUTE(SUBSTITUTE(SUBSTITUTE('Aqui Planilha'!U21, ".", ""), "-",""), ";", ""), ":", "")</f>
        <v/>
      </c>
      <c r="V21" s="16" t="str">
        <f>SUBSTITUTE(SUBSTITUTE(SUBSTITUTE(SUBSTITUTE('Aqui Planilha'!V21, ".", ""), "-",""), ";", ""), ":", "")</f>
        <v/>
      </c>
      <c r="W21" s="11" t="str">
        <f>SUBSTITUTE(SUBSTITUTE(SUBSTITUTE(SUBSTITUTE('Aqui Planilha'!W21, ".", ""), "-",""), ";", ""), ":", "")</f>
        <v/>
      </c>
    </row>
    <row r="22" spans="1:23" x14ac:dyDescent="0.25">
      <c r="A22" s="39" t="str">
        <f>UPPER(ACENTO('Aqui Planilha'!A22))</f>
        <v/>
      </c>
      <c r="B22" s="12" t="e">
        <f>DATEVALUE(SUBSTITUTE(SUBSTITUTE(SUBSTITUTE(SUBSTITUTE('Aqui Planilha'!B22, ".", "/"), "-","/"), ";", "/"), ":", "/"))</f>
        <v>#VALUE!</v>
      </c>
      <c r="C22" s="9" t="str">
        <f>UPPER('Aqui Planilha'!C22)</f>
        <v/>
      </c>
      <c r="D22" s="13" t="str">
        <f>SUBSTITUTE(SUBSTITUTE(SUBSTITUTE(SUBSTITUTE('Aqui Planilha'!D22, ".", ""), "-",""), ";", ""), ":", "")</f>
        <v/>
      </c>
      <c r="E22" s="9" t="str">
        <f>UPPER(ACENTO('Aqui Planilha'!E22))</f>
        <v/>
      </c>
      <c r="F22" s="9" t="str">
        <f>UPPER(ACENTO('Aqui Planilha'!F22))</f>
        <v/>
      </c>
      <c r="G22" s="9" t="str">
        <f>UPPER(ACENTO('Aqui Planilha'!G22))</f>
        <v/>
      </c>
      <c r="H22" s="14" t="str">
        <f>SUBSTITUTE(SUBSTITUTE(SUBSTITUTE(SUBSTITUTE(SUBSTITUTE('Aqui Planilha'!H22,"","0"),"Sn","0"),"SN","0"),"sn","0"),"sN","0")</f>
        <v/>
      </c>
      <c r="I22" s="9" t="str">
        <f>UPPER(ACENTO('Aqui Planilha'!I22))</f>
        <v/>
      </c>
      <c r="J22" s="9" t="str">
        <f>UPPER(ACENTO('Aqui Planilha'!J22))</f>
        <v/>
      </c>
      <c r="K22" s="9" t="str">
        <f>UPPER(ACENTO('Aqui Planilha'!K22))</f>
        <v/>
      </c>
      <c r="L22" s="15" t="e">
        <f>(REPT("0",11-LEN(FormulaOcult!L22))&amp;FormulaOcult!L22)</f>
        <v>#VALUE!</v>
      </c>
      <c r="M22" s="13" t="str">
        <f>SUBSTITUTE(SUBSTITUTE(SUBSTITUTE(SUBSTITUTE('Aqui Planilha'!M22, ".", ""), "-",""), ";", ""), ":", "")</f>
        <v/>
      </c>
      <c r="N22" s="12" t="e">
        <f>DATEVALUE(SUBSTITUTE(SUBSTITUTE(SUBSTITUTE(SUBSTITUTE(SUBSTITUTE('Aqui Planilha'!N22, ".", "/"), "-","/"), ";", "/"), ":", "/"), "/", "/"))</f>
        <v>#VALUE!</v>
      </c>
      <c r="O22" s="9" t="str">
        <f>UPPER(ACENTO('Aqui Planilha'!O22))</f>
        <v/>
      </c>
      <c r="P22" s="9" t="str">
        <f>UPPER(ACENTO('Aqui Planilha'!P22))</f>
        <v/>
      </c>
      <c r="Q22" s="11">
        <f>'Aqui Planilha'!Q22</f>
        <v>0</v>
      </c>
      <c r="R22" s="9" t="str">
        <f>UPPER(ACENTO('Aqui Planilha'!R22))</f>
        <v/>
      </c>
      <c r="S22" s="16" t="str">
        <f>SUBSTITUTE(SUBSTITUTE(SUBSTITUTE(SUBSTITUTE('Aqui Planilha'!S22, ".", ""), "-",""), ";", ""), ":", "")</f>
        <v/>
      </c>
      <c r="T22" s="16" t="str">
        <f>SUBSTITUTE(SUBSTITUTE(SUBSTITUTE(SUBSTITUTE('Aqui Planilha'!T22, ".", ""), "-",""), ";", ""), ":", "")</f>
        <v/>
      </c>
      <c r="U22" s="16" t="str">
        <f>SUBSTITUTE(SUBSTITUTE(SUBSTITUTE(SUBSTITUTE('Aqui Planilha'!U22, ".", ""), "-",""), ";", ""), ":", "")</f>
        <v/>
      </c>
      <c r="V22" s="16" t="str">
        <f>SUBSTITUTE(SUBSTITUTE(SUBSTITUTE(SUBSTITUTE('Aqui Planilha'!V22, ".", ""), "-",""), ";", ""), ":", "")</f>
        <v/>
      </c>
      <c r="W22" s="11" t="str">
        <f>SUBSTITUTE(SUBSTITUTE(SUBSTITUTE(SUBSTITUTE('Aqui Planilha'!W22, ".", ""), "-",""), ";", ""), ":", "")</f>
        <v/>
      </c>
    </row>
    <row r="23" spans="1:23" x14ac:dyDescent="0.25">
      <c r="A23" s="39" t="str">
        <f>UPPER(ACENTO('Aqui Planilha'!A23))</f>
        <v/>
      </c>
      <c r="B23" s="12" t="e">
        <f>DATEVALUE(SUBSTITUTE(SUBSTITUTE(SUBSTITUTE(SUBSTITUTE('Aqui Planilha'!B23, ".", "/"), "-","/"), ";", "/"), ":", "/"))</f>
        <v>#VALUE!</v>
      </c>
      <c r="C23" s="9" t="str">
        <f>UPPER('Aqui Planilha'!C23)</f>
        <v/>
      </c>
      <c r="D23" s="13" t="str">
        <f>SUBSTITUTE(SUBSTITUTE(SUBSTITUTE(SUBSTITUTE('Aqui Planilha'!D23, ".", ""), "-",""), ";", ""), ":", "")</f>
        <v/>
      </c>
      <c r="E23" s="9" t="str">
        <f>UPPER(ACENTO('Aqui Planilha'!E23))</f>
        <v/>
      </c>
      <c r="F23" s="9" t="str">
        <f>UPPER(ACENTO('Aqui Planilha'!F23))</f>
        <v/>
      </c>
      <c r="G23" s="9" t="str">
        <f>UPPER(ACENTO('Aqui Planilha'!G23))</f>
        <v/>
      </c>
      <c r="H23" s="14" t="str">
        <f>SUBSTITUTE(SUBSTITUTE(SUBSTITUTE(SUBSTITUTE(SUBSTITUTE('Aqui Planilha'!H23,"","0"),"Sn","0"),"SN","0"),"sn","0"),"sN","0")</f>
        <v/>
      </c>
      <c r="I23" s="9" t="str">
        <f>UPPER(ACENTO('Aqui Planilha'!I23))</f>
        <v/>
      </c>
      <c r="J23" s="9" t="str">
        <f>UPPER(ACENTO('Aqui Planilha'!J23))</f>
        <v/>
      </c>
      <c r="K23" s="9" t="str">
        <f>UPPER(ACENTO('Aqui Planilha'!K23))</f>
        <v/>
      </c>
      <c r="L23" s="15" t="e">
        <f>(REPT("0",11-LEN(FormulaOcult!L23))&amp;FormulaOcult!L23)</f>
        <v>#VALUE!</v>
      </c>
      <c r="M23" s="13" t="str">
        <f>SUBSTITUTE(SUBSTITUTE(SUBSTITUTE(SUBSTITUTE('Aqui Planilha'!M23, ".", ""), "-",""), ";", ""), ":", "")</f>
        <v/>
      </c>
      <c r="N23" s="12" t="e">
        <f>DATEVALUE(SUBSTITUTE(SUBSTITUTE(SUBSTITUTE(SUBSTITUTE(SUBSTITUTE('Aqui Planilha'!N23, ".", "/"), "-","/"), ";", "/"), ":", "/"), "/", "/"))</f>
        <v>#VALUE!</v>
      </c>
      <c r="O23" s="9" t="str">
        <f>UPPER(ACENTO('Aqui Planilha'!O23))</f>
        <v/>
      </c>
      <c r="P23" s="9" t="str">
        <f>UPPER(ACENTO('Aqui Planilha'!P23))</f>
        <v/>
      </c>
      <c r="Q23" s="11">
        <f>'Aqui Planilha'!Q23</f>
        <v>0</v>
      </c>
      <c r="R23" s="9" t="str">
        <f>UPPER(ACENTO('Aqui Planilha'!R23))</f>
        <v/>
      </c>
      <c r="S23" s="16" t="str">
        <f>SUBSTITUTE(SUBSTITUTE(SUBSTITUTE(SUBSTITUTE('Aqui Planilha'!S23, ".", ""), "-",""), ";", ""), ":", "")</f>
        <v/>
      </c>
      <c r="T23" s="16" t="str">
        <f>SUBSTITUTE(SUBSTITUTE(SUBSTITUTE(SUBSTITUTE('Aqui Planilha'!T23, ".", ""), "-",""), ";", ""), ":", "")</f>
        <v/>
      </c>
      <c r="U23" s="16" t="str">
        <f>SUBSTITUTE(SUBSTITUTE(SUBSTITUTE(SUBSTITUTE('Aqui Planilha'!U23, ".", ""), "-",""), ";", ""), ":", "")</f>
        <v/>
      </c>
      <c r="V23" s="16" t="str">
        <f>SUBSTITUTE(SUBSTITUTE(SUBSTITUTE(SUBSTITUTE('Aqui Planilha'!V23, ".", ""), "-",""), ";", ""), ":", "")</f>
        <v/>
      </c>
      <c r="W23" s="11" t="str">
        <f>SUBSTITUTE(SUBSTITUTE(SUBSTITUTE(SUBSTITUTE('Aqui Planilha'!W23, ".", ""), "-",""), ";", ""), ":", "")</f>
        <v/>
      </c>
    </row>
    <row r="24" spans="1:23" x14ac:dyDescent="0.25">
      <c r="A24" s="39" t="str">
        <f>UPPER(ACENTO('Aqui Planilha'!A24))</f>
        <v/>
      </c>
      <c r="B24" s="12" t="e">
        <f>DATEVALUE(SUBSTITUTE(SUBSTITUTE(SUBSTITUTE(SUBSTITUTE('Aqui Planilha'!B24, ".", "/"), "-","/"), ";", "/"), ":", "/"))</f>
        <v>#VALUE!</v>
      </c>
      <c r="C24" s="9" t="str">
        <f>UPPER('Aqui Planilha'!C24)</f>
        <v/>
      </c>
      <c r="D24" s="13" t="str">
        <f>SUBSTITUTE(SUBSTITUTE(SUBSTITUTE(SUBSTITUTE('Aqui Planilha'!D24, ".", ""), "-",""), ";", ""), ":", "")</f>
        <v/>
      </c>
      <c r="E24" s="9" t="str">
        <f>UPPER(ACENTO('Aqui Planilha'!E24))</f>
        <v/>
      </c>
      <c r="F24" s="9" t="str">
        <f>UPPER(ACENTO('Aqui Planilha'!F24))</f>
        <v/>
      </c>
      <c r="G24" s="9" t="str">
        <f>UPPER(ACENTO('Aqui Planilha'!G24))</f>
        <v/>
      </c>
      <c r="H24" s="14" t="str">
        <f>SUBSTITUTE(SUBSTITUTE(SUBSTITUTE(SUBSTITUTE(SUBSTITUTE('Aqui Planilha'!H24,"","0"),"Sn","0"),"SN","0"),"sn","0"),"sN","0")</f>
        <v/>
      </c>
      <c r="I24" s="9" t="str">
        <f>UPPER(ACENTO('Aqui Planilha'!I24))</f>
        <v/>
      </c>
      <c r="J24" s="9" t="str">
        <f>UPPER(ACENTO('Aqui Planilha'!J24))</f>
        <v/>
      </c>
      <c r="K24" s="9" t="str">
        <f>UPPER(ACENTO('Aqui Planilha'!K24))</f>
        <v/>
      </c>
      <c r="L24" s="15" t="e">
        <f>(REPT("0",11-LEN(FormulaOcult!L24))&amp;FormulaOcult!L24)</f>
        <v>#VALUE!</v>
      </c>
      <c r="M24" s="13" t="str">
        <f>SUBSTITUTE(SUBSTITUTE(SUBSTITUTE(SUBSTITUTE('Aqui Planilha'!M24, ".", ""), "-",""), ";", ""), ":", "")</f>
        <v/>
      </c>
      <c r="N24" s="12" t="e">
        <f>DATEVALUE(SUBSTITUTE(SUBSTITUTE(SUBSTITUTE(SUBSTITUTE(SUBSTITUTE('Aqui Planilha'!N24, ".", "/"), "-","/"), ";", "/"), ":", "/"), "/", "/"))</f>
        <v>#VALUE!</v>
      </c>
      <c r="O24" s="9" t="str">
        <f>UPPER(ACENTO('Aqui Planilha'!O24))</f>
        <v/>
      </c>
      <c r="P24" s="9" t="str">
        <f>UPPER(ACENTO('Aqui Planilha'!P24))</f>
        <v/>
      </c>
      <c r="Q24" s="11">
        <f>'Aqui Planilha'!Q24</f>
        <v>0</v>
      </c>
      <c r="R24" s="9" t="str">
        <f>UPPER(ACENTO('Aqui Planilha'!R24))</f>
        <v/>
      </c>
      <c r="S24" s="16" t="str">
        <f>SUBSTITUTE(SUBSTITUTE(SUBSTITUTE(SUBSTITUTE('Aqui Planilha'!S24, ".", ""), "-",""), ";", ""), ":", "")</f>
        <v/>
      </c>
      <c r="T24" s="16" t="str">
        <f>SUBSTITUTE(SUBSTITUTE(SUBSTITUTE(SUBSTITUTE('Aqui Planilha'!T24, ".", ""), "-",""), ";", ""), ":", "")</f>
        <v/>
      </c>
      <c r="U24" s="16" t="str">
        <f>SUBSTITUTE(SUBSTITUTE(SUBSTITUTE(SUBSTITUTE('Aqui Planilha'!U24, ".", ""), "-",""), ";", ""), ":", "")</f>
        <v/>
      </c>
      <c r="V24" s="16" t="str">
        <f>SUBSTITUTE(SUBSTITUTE(SUBSTITUTE(SUBSTITUTE('Aqui Planilha'!V24, ".", ""), "-",""), ";", ""), ":", "")</f>
        <v/>
      </c>
      <c r="W24" s="11" t="str">
        <f>SUBSTITUTE(SUBSTITUTE(SUBSTITUTE(SUBSTITUTE('Aqui Planilha'!W24, ".", ""), "-",""), ";", ""), ":", "")</f>
        <v/>
      </c>
    </row>
    <row r="25" spans="1:23" x14ac:dyDescent="0.25">
      <c r="A25" s="39" t="str">
        <f>UPPER(ACENTO('Aqui Planilha'!A25))</f>
        <v/>
      </c>
      <c r="B25" s="12" t="e">
        <f>DATEVALUE(SUBSTITUTE(SUBSTITUTE(SUBSTITUTE(SUBSTITUTE('Aqui Planilha'!B25, ".", "/"), "-","/"), ";", "/"), ":", "/"))</f>
        <v>#VALUE!</v>
      </c>
      <c r="C25" s="9" t="str">
        <f>UPPER('Aqui Planilha'!C25)</f>
        <v/>
      </c>
      <c r="D25" s="13" t="str">
        <f>SUBSTITUTE(SUBSTITUTE(SUBSTITUTE(SUBSTITUTE('Aqui Planilha'!D25, ".", ""), "-",""), ";", ""), ":", "")</f>
        <v/>
      </c>
      <c r="E25" s="9" t="str">
        <f>UPPER(ACENTO('Aqui Planilha'!E25))</f>
        <v/>
      </c>
      <c r="F25" s="9" t="str">
        <f>UPPER(ACENTO('Aqui Planilha'!F25))</f>
        <v/>
      </c>
      <c r="G25" s="9" t="str">
        <f>UPPER(ACENTO('Aqui Planilha'!G25))</f>
        <v/>
      </c>
      <c r="H25" s="14" t="str">
        <f>SUBSTITUTE(SUBSTITUTE(SUBSTITUTE(SUBSTITUTE(SUBSTITUTE('Aqui Planilha'!H25,"","0"),"Sn","0"),"SN","0"),"sn","0"),"sN","0")</f>
        <v/>
      </c>
      <c r="I25" s="9" t="str">
        <f>UPPER(ACENTO('Aqui Planilha'!I25))</f>
        <v/>
      </c>
      <c r="J25" s="9" t="str">
        <f>UPPER(ACENTO('Aqui Planilha'!J25))</f>
        <v/>
      </c>
      <c r="K25" s="9" t="str">
        <f>UPPER(ACENTO('Aqui Planilha'!K25))</f>
        <v/>
      </c>
      <c r="L25" s="15" t="e">
        <f>(REPT("0",11-LEN(FormulaOcult!L25))&amp;FormulaOcult!L25)</f>
        <v>#VALUE!</v>
      </c>
      <c r="M25" s="13" t="str">
        <f>SUBSTITUTE(SUBSTITUTE(SUBSTITUTE(SUBSTITUTE('Aqui Planilha'!M25, ".", ""), "-",""), ";", ""), ":", "")</f>
        <v/>
      </c>
      <c r="N25" s="12" t="e">
        <f>DATEVALUE(SUBSTITUTE(SUBSTITUTE(SUBSTITUTE(SUBSTITUTE(SUBSTITUTE('Aqui Planilha'!N25, ".", "/"), "-","/"), ";", "/"), ":", "/"), "/", "/"))</f>
        <v>#VALUE!</v>
      </c>
      <c r="O25" s="9" t="str">
        <f>UPPER(ACENTO('Aqui Planilha'!O25))</f>
        <v/>
      </c>
      <c r="P25" s="9" t="str">
        <f>UPPER(ACENTO('Aqui Planilha'!P25))</f>
        <v/>
      </c>
      <c r="Q25" s="11">
        <f>'Aqui Planilha'!Q25</f>
        <v>0</v>
      </c>
      <c r="R25" s="9" t="str">
        <f>UPPER(ACENTO('Aqui Planilha'!R25))</f>
        <v/>
      </c>
      <c r="S25" s="16" t="str">
        <f>SUBSTITUTE(SUBSTITUTE(SUBSTITUTE(SUBSTITUTE('Aqui Planilha'!S25, ".", ""), "-",""), ";", ""), ":", "")</f>
        <v/>
      </c>
      <c r="T25" s="16" t="str">
        <f>SUBSTITUTE(SUBSTITUTE(SUBSTITUTE(SUBSTITUTE('Aqui Planilha'!T25, ".", ""), "-",""), ";", ""), ":", "")</f>
        <v/>
      </c>
      <c r="U25" s="16" t="str">
        <f>SUBSTITUTE(SUBSTITUTE(SUBSTITUTE(SUBSTITUTE('Aqui Planilha'!U25, ".", ""), "-",""), ";", ""), ":", "")</f>
        <v/>
      </c>
      <c r="V25" s="16" t="str">
        <f>SUBSTITUTE(SUBSTITUTE(SUBSTITUTE(SUBSTITUTE('Aqui Planilha'!V25, ".", ""), "-",""), ";", ""), ":", "")</f>
        <v/>
      </c>
      <c r="W25" s="11" t="str">
        <f>SUBSTITUTE(SUBSTITUTE(SUBSTITUTE(SUBSTITUTE('Aqui Planilha'!W25, ".", ""), "-",""), ";", ""), ":", "")</f>
        <v/>
      </c>
    </row>
    <row r="26" spans="1:23" x14ac:dyDescent="0.25">
      <c r="A26" s="39" t="str">
        <f>UPPER(ACENTO('Aqui Planilha'!A26))</f>
        <v/>
      </c>
      <c r="B26" s="12" t="e">
        <f>DATEVALUE(SUBSTITUTE(SUBSTITUTE(SUBSTITUTE(SUBSTITUTE('Aqui Planilha'!B26, ".", "/"), "-","/"), ";", "/"), ":", "/"))</f>
        <v>#VALUE!</v>
      </c>
      <c r="C26" s="9" t="str">
        <f>UPPER('Aqui Planilha'!C26)</f>
        <v/>
      </c>
      <c r="D26" s="13" t="str">
        <f>SUBSTITUTE(SUBSTITUTE(SUBSTITUTE(SUBSTITUTE('Aqui Planilha'!D26, ".", ""), "-",""), ";", ""), ":", "")</f>
        <v/>
      </c>
      <c r="E26" s="9" t="str">
        <f>UPPER(ACENTO('Aqui Planilha'!E26))</f>
        <v/>
      </c>
      <c r="F26" s="9" t="str">
        <f>UPPER(ACENTO('Aqui Planilha'!F26))</f>
        <v/>
      </c>
      <c r="G26" s="9" t="str">
        <f>UPPER(ACENTO('Aqui Planilha'!G26))</f>
        <v/>
      </c>
      <c r="H26" s="14" t="str">
        <f>SUBSTITUTE(SUBSTITUTE(SUBSTITUTE(SUBSTITUTE(SUBSTITUTE('Aqui Planilha'!H26,"","0"),"Sn","0"),"SN","0"),"sn","0"),"sN","0")</f>
        <v/>
      </c>
      <c r="I26" s="9" t="str">
        <f>UPPER(ACENTO('Aqui Planilha'!I26))</f>
        <v/>
      </c>
      <c r="J26" s="9" t="str">
        <f>UPPER(ACENTO('Aqui Planilha'!J26))</f>
        <v/>
      </c>
      <c r="K26" s="9" t="str">
        <f>UPPER(ACENTO('Aqui Planilha'!K26))</f>
        <v/>
      </c>
      <c r="L26" s="15" t="e">
        <f>(REPT("0",11-LEN(FormulaOcult!L26))&amp;FormulaOcult!L26)</f>
        <v>#VALUE!</v>
      </c>
      <c r="M26" s="13" t="str">
        <f>SUBSTITUTE(SUBSTITUTE(SUBSTITUTE(SUBSTITUTE('Aqui Planilha'!M26, ".", ""), "-",""), ";", ""), ":", "")</f>
        <v/>
      </c>
      <c r="N26" s="12" t="e">
        <f>DATEVALUE(SUBSTITUTE(SUBSTITUTE(SUBSTITUTE(SUBSTITUTE(SUBSTITUTE('Aqui Planilha'!N26, ".", "/"), "-","/"), ";", "/"), ":", "/"), "/", "/"))</f>
        <v>#VALUE!</v>
      </c>
      <c r="O26" s="9" t="str">
        <f>UPPER(ACENTO('Aqui Planilha'!O26))</f>
        <v/>
      </c>
      <c r="P26" s="9" t="str">
        <f>UPPER(ACENTO('Aqui Planilha'!P26))</f>
        <v/>
      </c>
      <c r="Q26" s="11">
        <f>'Aqui Planilha'!Q26</f>
        <v>0</v>
      </c>
      <c r="R26" s="9" t="str">
        <f>UPPER(ACENTO('Aqui Planilha'!R26))</f>
        <v/>
      </c>
      <c r="S26" s="16" t="str">
        <f>SUBSTITUTE(SUBSTITUTE(SUBSTITUTE(SUBSTITUTE('Aqui Planilha'!S26, ".", ""), "-",""), ";", ""), ":", "")</f>
        <v/>
      </c>
      <c r="T26" s="16" t="str">
        <f>SUBSTITUTE(SUBSTITUTE(SUBSTITUTE(SUBSTITUTE('Aqui Planilha'!T26, ".", ""), "-",""), ";", ""), ":", "")</f>
        <v/>
      </c>
      <c r="U26" s="16" t="str">
        <f>SUBSTITUTE(SUBSTITUTE(SUBSTITUTE(SUBSTITUTE('Aqui Planilha'!U26, ".", ""), "-",""), ";", ""), ":", "")</f>
        <v/>
      </c>
      <c r="V26" s="16" t="str">
        <f>SUBSTITUTE(SUBSTITUTE(SUBSTITUTE(SUBSTITUTE('Aqui Planilha'!V26, ".", ""), "-",""), ";", ""), ":", "")</f>
        <v/>
      </c>
      <c r="W26" s="11" t="str">
        <f>SUBSTITUTE(SUBSTITUTE(SUBSTITUTE(SUBSTITUTE('Aqui Planilha'!W26, ".", ""), "-",""), ";", ""), ":", "")</f>
        <v/>
      </c>
    </row>
    <row r="27" spans="1:23" x14ac:dyDescent="0.25">
      <c r="A27" s="39" t="str">
        <f>UPPER(ACENTO('Aqui Planilha'!A27))</f>
        <v/>
      </c>
      <c r="B27" s="12" t="e">
        <f>DATEVALUE(SUBSTITUTE(SUBSTITUTE(SUBSTITUTE(SUBSTITUTE('Aqui Planilha'!B27, ".", "/"), "-","/"), ";", "/"), ":", "/"))</f>
        <v>#VALUE!</v>
      </c>
      <c r="C27" s="9" t="str">
        <f>UPPER('Aqui Planilha'!C27)</f>
        <v/>
      </c>
      <c r="D27" s="13" t="str">
        <f>SUBSTITUTE(SUBSTITUTE(SUBSTITUTE(SUBSTITUTE('Aqui Planilha'!D27, ".", ""), "-",""), ";", ""), ":", "")</f>
        <v/>
      </c>
      <c r="E27" s="9" t="str">
        <f>UPPER(ACENTO('Aqui Planilha'!E27))</f>
        <v/>
      </c>
      <c r="F27" s="9" t="str">
        <f>UPPER(ACENTO('Aqui Planilha'!F27))</f>
        <v/>
      </c>
      <c r="G27" s="9" t="str">
        <f>UPPER(ACENTO('Aqui Planilha'!G27))</f>
        <v/>
      </c>
      <c r="H27" s="14" t="str">
        <f>SUBSTITUTE(SUBSTITUTE(SUBSTITUTE(SUBSTITUTE(SUBSTITUTE('Aqui Planilha'!H27,"","0"),"Sn","0"),"SN","0"),"sn","0"),"sN","0")</f>
        <v/>
      </c>
      <c r="I27" s="9" t="str">
        <f>UPPER(ACENTO('Aqui Planilha'!I27))</f>
        <v/>
      </c>
      <c r="J27" s="9" t="str">
        <f>UPPER(ACENTO('Aqui Planilha'!J27))</f>
        <v/>
      </c>
      <c r="K27" s="9" t="str">
        <f>UPPER(ACENTO('Aqui Planilha'!K27))</f>
        <v/>
      </c>
      <c r="L27" s="15" t="e">
        <f>(REPT("0",11-LEN(FormulaOcult!L27))&amp;FormulaOcult!L27)</f>
        <v>#VALUE!</v>
      </c>
      <c r="M27" s="13" t="str">
        <f>SUBSTITUTE(SUBSTITUTE(SUBSTITUTE(SUBSTITUTE('Aqui Planilha'!M27, ".", ""), "-",""), ";", ""), ":", "")</f>
        <v/>
      </c>
      <c r="N27" s="12" t="e">
        <f>DATEVALUE(SUBSTITUTE(SUBSTITUTE(SUBSTITUTE(SUBSTITUTE(SUBSTITUTE('Aqui Planilha'!N27, ".", "/"), "-","/"), ";", "/"), ":", "/"), "/", "/"))</f>
        <v>#VALUE!</v>
      </c>
      <c r="O27" s="9" t="str">
        <f>UPPER(ACENTO('Aqui Planilha'!O27))</f>
        <v/>
      </c>
      <c r="P27" s="9" t="str">
        <f>UPPER(ACENTO('Aqui Planilha'!P27))</f>
        <v/>
      </c>
      <c r="Q27" s="11">
        <f>'Aqui Planilha'!Q27</f>
        <v>0</v>
      </c>
      <c r="R27" s="9" t="str">
        <f>UPPER(ACENTO('Aqui Planilha'!R27))</f>
        <v/>
      </c>
      <c r="S27" s="16" t="str">
        <f>SUBSTITUTE(SUBSTITUTE(SUBSTITUTE(SUBSTITUTE('Aqui Planilha'!S27, ".", ""), "-",""), ";", ""), ":", "")</f>
        <v/>
      </c>
      <c r="T27" s="16" t="str">
        <f>SUBSTITUTE(SUBSTITUTE(SUBSTITUTE(SUBSTITUTE('Aqui Planilha'!T27, ".", ""), "-",""), ";", ""), ":", "")</f>
        <v/>
      </c>
      <c r="U27" s="16" t="str">
        <f>SUBSTITUTE(SUBSTITUTE(SUBSTITUTE(SUBSTITUTE('Aqui Planilha'!U27, ".", ""), "-",""), ";", ""), ":", "")</f>
        <v/>
      </c>
      <c r="V27" s="16" t="str">
        <f>SUBSTITUTE(SUBSTITUTE(SUBSTITUTE(SUBSTITUTE('Aqui Planilha'!V27, ".", ""), "-",""), ";", ""), ":", "")</f>
        <v/>
      </c>
      <c r="W27" s="11" t="str">
        <f>SUBSTITUTE(SUBSTITUTE(SUBSTITUTE(SUBSTITUTE('Aqui Planilha'!W27, ".", ""), "-",""), ";", ""), ":", "")</f>
        <v/>
      </c>
    </row>
    <row r="28" spans="1:23" x14ac:dyDescent="0.25">
      <c r="A28" s="39" t="str">
        <f>UPPER(ACENTO('Aqui Planilha'!A28))</f>
        <v/>
      </c>
      <c r="B28" s="12" t="e">
        <f>DATEVALUE(SUBSTITUTE(SUBSTITUTE(SUBSTITUTE(SUBSTITUTE('Aqui Planilha'!B28, ".", "/"), "-","/"), ";", "/"), ":", "/"))</f>
        <v>#VALUE!</v>
      </c>
      <c r="C28" s="9" t="str">
        <f>UPPER('Aqui Planilha'!C28)</f>
        <v/>
      </c>
      <c r="D28" s="13" t="str">
        <f>SUBSTITUTE(SUBSTITUTE(SUBSTITUTE(SUBSTITUTE('Aqui Planilha'!D28, ".", ""), "-",""), ";", ""), ":", "")</f>
        <v/>
      </c>
      <c r="E28" s="9" t="str">
        <f>UPPER(ACENTO('Aqui Planilha'!E28))</f>
        <v/>
      </c>
      <c r="F28" s="9" t="str">
        <f>UPPER(ACENTO('Aqui Planilha'!F28))</f>
        <v/>
      </c>
      <c r="G28" s="9" t="str">
        <f>UPPER(ACENTO('Aqui Planilha'!G28))</f>
        <v/>
      </c>
      <c r="H28" s="14" t="str">
        <f>SUBSTITUTE(SUBSTITUTE(SUBSTITUTE(SUBSTITUTE(SUBSTITUTE('Aqui Planilha'!H28,"","0"),"Sn","0"),"SN","0"),"sn","0"),"sN","0")</f>
        <v/>
      </c>
      <c r="I28" s="9" t="str">
        <f>UPPER(ACENTO('Aqui Planilha'!I28))</f>
        <v/>
      </c>
      <c r="J28" s="9" t="str">
        <f>UPPER(ACENTO('Aqui Planilha'!J28))</f>
        <v/>
      </c>
      <c r="K28" s="9" t="str">
        <f>UPPER(ACENTO('Aqui Planilha'!K28))</f>
        <v/>
      </c>
      <c r="L28" s="15" t="e">
        <f>(REPT("0",11-LEN(FormulaOcult!L28))&amp;FormulaOcult!L28)</f>
        <v>#VALUE!</v>
      </c>
      <c r="M28" s="13" t="str">
        <f>SUBSTITUTE(SUBSTITUTE(SUBSTITUTE(SUBSTITUTE('Aqui Planilha'!M28, ".", ""), "-",""), ";", ""), ":", "")</f>
        <v/>
      </c>
      <c r="N28" s="12" t="e">
        <f>DATEVALUE(SUBSTITUTE(SUBSTITUTE(SUBSTITUTE(SUBSTITUTE(SUBSTITUTE('Aqui Planilha'!N28, ".", "/"), "-","/"), ";", "/"), ":", "/"), "/", "/"))</f>
        <v>#VALUE!</v>
      </c>
      <c r="O28" s="9" t="str">
        <f>UPPER(ACENTO('Aqui Planilha'!O28))</f>
        <v/>
      </c>
      <c r="P28" s="9" t="str">
        <f>UPPER(ACENTO('Aqui Planilha'!P28))</f>
        <v/>
      </c>
      <c r="Q28" s="11">
        <f>'Aqui Planilha'!Q28</f>
        <v>0</v>
      </c>
      <c r="R28" s="9" t="str">
        <f>UPPER(ACENTO('Aqui Planilha'!R28))</f>
        <v/>
      </c>
      <c r="S28" s="16" t="str">
        <f>SUBSTITUTE(SUBSTITUTE(SUBSTITUTE(SUBSTITUTE('Aqui Planilha'!S28, ".", ""), "-",""), ";", ""), ":", "")</f>
        <v/>
      </c>
      <c r="T28" s="16" t="str">
        <f>SUBSTITUTE(SUBSTITUTE(SUBSTITUTE(SUBSTITUTE('Aqui Planilha'!T28, ".", ""), "-",""), ";", ""), ":", "")</f>
        <v/>
      </c>
      <c r="U28" s="16" t="str">
        <f>SUBSTITUTE(SUBSTITUTE(SUBSTITUTE(SUBSTITUTE('Aqui Planilha'!U28, ".", ""), "-",""), ";", ""), ":", "")</f>
        <v/>
      </c>
      <c r="V28" s="16" t="str">
        <f>SUBSTITUTE(SUBSTITUTE(SUBSTITUTE(SUBSTITUTE('Aqui Planilha'!V28, ".", ""), "-",""), ";", ""), ":", "")</f>
        <v/>
      </c>
      <c r="W28" s="11" t="str">
        <f>SUBSTITUTE(SUBSTITUTE(SUBSTITUTE(SUBSTITUTE('Aqui Planilha'!W28, ".", ""), "-",""), ";", ""), ":", "")</f>
        <v/>
      </c>
    </row>
    <row r="29" spans="1:23" x14ac:dyDescent="0.25">
      <c r="A29" s="39" t="str">
        <f>UPPER(ACENTO('Aqui Planilha'!A29))</f>
        <v/>
      </c>
      <c r="B29" s="12" t="e">
        <f>DATEVALUE(SUBSTITUTE(SUBSTITUTE(SUBSTITUTE(SUBSTITUTE('Aqui Planilha'!B29, ".", "/"), "-","/"), ";", "/"), ":", "/"))</f>
        <v>#VALUE!</v>
      </c>
      <c r="C29" s="9" t="str">
        <f>UPPER('Aqui Planilha'!C29)</f>
        <v/>
      </c>
      <c r="D29" s="13" t="str">
        <f>SUBSTITUTE(SUBSTITUTE(SUBSTITUTE(SUBSTITUTE('Aqui Planilha'!D29, ".", ""), "-",""), ";", ""), ":", "")</f>
        <v/>
      </c>
      <c r="E29" s="9" t="str">
        <f>UPPER(ACENTO('Aqui Planilha'!E29))</f>
        <v/>
      </c>
      <c r="F29" s="9" t="str">
        <f>UPPER(ACENTO('Aqui Planilha'!F29))</f>
        <v/>
      </c>
      <c r="G29" s="9" t="str">
        <f>UPPER(ACENTO('Aqui Planilha'!G29))</f>
        <v/>
      </c>
      <c r="H29" s="14" t="str">
        <f>SUBSTITUTE(SUBSTITUTE(SUBSTITUTE(SUBSTITUTE(SUBSTITUTE('Aqui Planilha'!H29,"","0"),"Sn","0"),"SN","0"),"sn","0"),"sN","0")</f>
        <v/>
      </c>
      <c r="I29" s="9" t="str">
        <f>UPPER(ACENTO('Aqui Planilha'!I29))</f>
        <v/>
      </c>
      <c r="J29" s="9" t="str">
        <f>UPPER(ACENTO('Aqui Planilha'!J29))</f>
        <v/>
      </c>
      <c r="K29" s="9" t="str">
        <f>UPPER(ACENTO('Aqui Planilha'!K29))</f>
        <v/>
      </c>
      <c r="L29" s="15" t="e">
        <f>(REPT("0",11-LEN(FormulaOcult!L29))&amp;FormulaOcult!L29)</f>
        <v>#VALUE!</v>
      </c>
      <c r="M29" s="13" t="str">
        <f>SUBSTITUTE(SUBSTITUTE(SUBSTITUTE(SUBSTITUTE('Aqui Planilha'!M29, ".", ""), "-",""), ";", ""), ":", "")</f>
        <v/>
      </c>
      <c r="N29" s="12" t="e">
        <f>DATEVALUE(SUBSTITUTE(SUBSTITUTE(SUBSTITUTE(SUBSTITUTE(SUBSTITUTE('Aqui Planilha'!N29, ".", "/"), "-","/"), ";", "/"), ":", "/"), "/", "/"))</f>
        <v>#VALUE!</v>
      </c>
      <c r="O29" s="9" t="str">
        <f>UPPER(ACENTO('Aqui Planilha'!O29))</f>
        <v/>
      </c>
      <c r="P29" s="9" t="str">
        <f>UPPER(ACENTO('Aqui Planilha'!P29))</f>
        <v/>
      </c>
      <c r="Q29" s="11">
        <f>'Aqui Planilha'!Q29</f>
        <v>0</v>
      </c>
      <c r="R29" s="9" t="str">
        <f>UPPER(ACENTO('Aqui Planilha'!R29))</f>
        <v/>
      </c>
      <c r="S29" s="16" t="str">
        <f>SUBSTITUTE(SUBSTITUTE(SUBSTITUTE(SUBSTITUTE('Aqui Planilha'!S29, ".", ""), "-",""), ";", ""), ":", "")</f>
        <v/>
      </c>
      <c r="T29" s="16" t="str">
        <f>SUBSTITUTE(SUBSTITUTE(SUBSTITUTE(SUBSTITUTE('Aqui Planilha'!T29, ".", ""), "-",""), ";", ""), ":", "")</f>
        <v/>
      </c>
      <c r="U29" s="16" t="str">
        <f>SUBSTITUTE(SUBSTITUTE(SUBSTITUTE(SUBSTITUTE('Aqui Planilha'!U29, ".", ""), "-",""), ";", ""), ":", "")</f>
        <v/>
      </c>
      <c r="V29" s="16" t="str">
        <f>SUBSTITUTE(SUBSTITUTE(SUBSTITUTE(SUBSTITUTE('Aqui Planilha'!V29, ".", ""), "-",""), ";", ""), ":", "")</f>
        <v/>
      </c>
      <c r="W29" s="11" t="str">
        <f>SUBSTITUTE(SUBSTITUTE(SUBSTITUTE(SUBSTITUTE('Aqui Planilha'!W29, ".", ""), "-",""), ";", ""), ":", "")</f>
        <v/>
      </c>
    </row>
    <row r="30" spans="1:23" x14ac:dyDescent="0.25">
      <c r="A30" s="39" t="str">
        <f>UPPER(ACENTO('Aqui Planilha'!A30))</f>
        <v/>
      </c>
      <c r="B30" s="12" t="e">
        <f>DATEVALUE(SUBSTITUTE(SUBSTITUTE(SUBSTITUTE(SUBSTITUTE('Aqui Planilha'!B30, ".", "/"), "-","/"), ";", "/"), ":", "/"))</f>
        <v>#VALUE!</v>
      </c>
      <c r="C30" s="9" t="str">
        <f>UPPER('Aqui Planilha'!C30)</f>
        <v/>
      </c>
      <c r="D30" s="13" t="str">
        <f>SUBSTITUTE(SUBSTITUTE(SUBSTITUTE(SUBSTITUTE('Aqui Planilha'!D30, ".", ""), "-",""), ";", ""), ":", "")</f>
        <v/>
      </c>
      <c r="E30" s="9" t="str">
        <f>UPPER(ACENTO('Aqui Planilha'!E30))</f>
        <v/>
      </c>
      <c r="F30" s="9" t="str">
        <f>UPPER(ACENTO('Aqui Planilha'!F30))</f>
        <v/>
      </c>
      <c r="G30" s="9" t="str">
        <f>UPPER(ACENTO('Aqui Planilha'!G30))</f>
        <v/>
      </c>
      <c r="H30" s="14" t="str">
        <f>SUBSTITUTE(SUBSTITUTE(SUBSTITUTE(SUBSTITUTE(SUBSTITUTE('Aqui Planilha'!H30,"","0"),"Sn","0"),"SN","0"),"sn","0"),"sN","0")</f>
        <v/>
      </c>
      <c r="I30" s="9" t="str">
        <f>UPPER(ACENTO('Aqui Planilha'!I30))</f>
        <v/>
      </c>
      <c r="J30" s="9" t="str">
        <f>UPPER(ACENTO('Aqui Planilha'!J30))</f>
        <v/>
      </c>
      <c r="K30" s="9" t="str">
        <f>UPPER(ACENTO('Aqui Planilha'!K30))</f>
        <v/>
      </c>
      <c r="L30" s="15" t="e">
        <f>(REPT("0",11-LEN(FormulaOcult!L30))&amp;FormulaOcult!L30)</f>
        <v>#VALUE!</v>
      </c>
      <c r="M30" s="13" t="str">
        <f>SUBSTITUTE(SUBSTITUTE(SUBSTITUTE(SUBSTITUTE('Aqui Planilha'!M30, ".", ""), "-",""), ";", ""), ":", "")</f>
        <v/>
      </c>
      <c r="N30" s="12" t="e">
        <f>DATEVALUE(SUBSTITUTE(SUBSTITUTE(SUBSTITUTE(SUBSTITUTE(SUBSTITUTE('Aqui Planilha'!N30, ".", "/"), "-","/"), ";", "/"), ":", "/"), "/", "/"))</f>
        <v>#VALUE!</v>
      </c>
      <c r="O30" s="9" t="str">
        <f>UPPER(ACENTO('Aqui Planilha'!O30))</f>
        <v/>
      </c>
      <c r="P30" s="9" t="str">
        <f>UPPER(ACENTO('Aqui Planilha'!P30))</f>
        <v/>
      </c>
      <c r="Q30" s="11">
        <f>'Aqui Planilha'!Q30</f>
        <v>0</v>
      </c>
      <c r="R30" s="9" t="str">
        <f>UPPER(ACENTO('Aqui Planilha'!R30))</f>
        <v/>
      </c>
      <c r="S30" s="16" t="str">
        <f>SUBSTITUTE(SUBSTITUTE(SUBSTITUTE(SUBSTITUTE('Aqui Planilha'!S30, ".", ""), "-",""), ";", ""), ":", "")</f>
        <v/>
      </c>
      <c r="T30" s="16" t="str">
        <f>SUBSTITUTE(SUBSTITUTE(SUBSTITUTE(SUBSTITUTE('Aqui Planilha'!T30, ".", ""), "-",""), ";", ""), ":", "")</f>
        <v/>
      </c>
      <c r="U30" s="16" t="str">
        <f>SUBSTITUTE(SUBSTITUTE(SUBSTITUTE(SUBSTITUTE('Aqui Planilha'!U30, ".", ""), "-",""), ";", ""), ":", "")</f>
        <v/>
      </c>
      <c r="V30" s="16" t="str">
        <f>SUBSTITUTE(SUBSTITUTE(SUBSTITUTE(SUBSTITUTE('Aqui Planilha'!V30, ".", ""), "-",""), ";", ""), ":", "")</f>
        <v/>
      </c>
      <c r="W30" s="11" t="str">
        <f>SUBSTITUTE(SUBSTITUTE(SUBSTITUTE(SUBSTITUTE('Aqui Planilha'!W30, ".", ""), "-",""), ";", ""), ":", "")</f>
        <v/>
      </c>
    </row>
    <row r="31" spans="1:23" x14ac:dyDescent="0.25">
      <c r="A31" s="39" t="str">
        <f>UPPER(ACENTO('Aqui Planilha'!A31))</f>
        <v/>
      </c>
      <c r="B31" s="12" t="e">
        <f>DATEVALUE(SUBSTITUTE(SUBSTITUTE(SUBSTITUTE(SUBSTITUTE('Aqui Planilha'!B31, ".", "/"), "-","/"), ";", "/"), ":", "/"))</f>
        <v>#VALUE!</v>
      </c>
      <c r="C31" s="9" t="str">
        <f>UPPER('Aqui Planilha'!C31)</f>
        <v/>
      </c>
      <c r="D31" s="13" t="str">
        <f>SUBSTITUTE(SUBSTITUTE(SUBSTITUTE(SUBSTITUTE('Aqui Planilha'!D31, ".", ""), "-",""), ";", ""), ":", "")</f>
        <v/>
      </c>
      <c r="E31" s="9" t="str">
        <f>UPPER(ACENTO('Aqui Planilha'!E31))</f>
        <v/>
      </c>
      <c r="F31" s="9" t="str">
        <f>UPPER(ACENTO('Aqui Planilha'!F31))</f>
        <v/>
      </c>
      <c r="G31" s="9" t="str">
        <f>UPPER(ACENTO('Aqui Planilha'!G31))</f>
        <v/>
      </c>
      <c r="H31" s="14" t="str">
        <f>SUBSTITUTE(SUBSTITUTE(SUBSTITUTE(SUBSTITUTE(SUBSTITUTE('Aqui Planilha'!H31,"","0"),"Sn","0"),"SN","0"),"sn","0"),"sN","0")</f>
        <v/>
      </c>
      <c r="I31" s="9" t="str">
        <f>UPPER(ACENTO('Aqui Planilha'!I31))</f>
        <v/>
      </c>
      <c r="J31" s="9" t="str">
        <f>UPPER(ACENTO('Aqui Planilha'!J31))</f>
        <v/>
      </c>
      <c r="K31" s="9" t="str">
        <f>UPPER(ACENTO('Aqui Planilha'!K31))</f>
        <v/>
      </c>
      <c r="L31" s="15" t="e">
        <f>(REPT("0",11-LEN(FormulaOcult!L31))&amp;FormulaOcult!L31)</f>
        <v>#VALUE!</v>
      </c>
      <c r="M31" s="13" t="str">
        <f>SUBSTITUTE(SUBSTITUTE(SUBSTITUTE(SUBSTITUTE('Aqui Planilha'!M31, ".", ""), "-",""), ";", ""), ":", "")</f>
        <v/>
      </c>
      <c r="N31" s="12" t="e">
        <f>DATEVALUE(SUBSTITUTE(SUBSTITUTE(SUBSTITUTE(SUBSTITUTE(SUBSTITUTE('Aqui Planilha'!N31, ".", "/"), "-","/"), ";", "/"), ":", "/"), "/", "/"))</f>
        <v>#VALUE!</v>
      </c>
      <c r="O31" s="9" t="str">
        <f>UPPER(ACENTO('Aqui Planilha'!O31))</f>
        <v/>
      </c>
      <c r="P31" s="9" t="str">
        <f>UPPER(ACENTO('Aqui Planilha'!P31))</f>
        <v/>
      </c>
      <c r="Q31" s="11">
        <f>'Aqui Planilha'!Q31</f>
        <v>0</v>
      </c>
      <c r="R31" s="9" t="str">
        <f>UPPER(ACENTO('Aqui Planilha'!R31))</f>
        <v/>
      </c>
      <c r="S31" s="16" t="str">
        <f>SUBSTITUTE(SUBSTITUTE(SUBSTITUTE(SUBSTITUTE('Aqui Planilha'!S31, ".", ""), "-",""), ";", ""), ":", "")</f>
        <v/>
      </c>
      <c r="T31" s="16" t="str">
        <f>SUBSTITUTE(SUBSTITUTE(SUBSTITUTE(SUBSTITUTE('Aqui Planilha'!T31, ".", ""), "-",""), ";", ""), ":", "")</f>
        <v/>
      </c>
      <c r="U31" s="16" t="str">
        <f>SUBSTITUTE(SUBSTITUTE(SUBSTITUTE(SUBSTITUTE('Aqui Planilha'!U31, ".", ""), "-",""), ";", ""), ":", "")</f>
        <v/>
      </c>
      <c r="V31" s="16" t="str">
        <f>SUBSTITUTE(SUBSTITUTE(SUBSTITUTE(SUBSTITUTE('Aqui Planilha'!V31, ".", ""), "-",""), ";", ""), ":", "")</f>
        <v/>
      </c>
      <c r="W31" s="11" t="str">
        <f>SUBSTITUTE(SUBSTITUTE(SUBSTITUTE(SUBSTITUTE('Aqui Planilha'!W31, ".", ""), "-",""), ";", ""), ":", "")</f>
        <v/>
      </c>
    </row>
    <row r="32" spans="1:23" x14ac:dyDescent="0.25">
      <c r="A32" s="39" t="str">
        <f>UPPER(ACENTO('Aqui Planilha'!A32))</f>
        <v/>
      </c>
      <c r="B32" s="12" t="e">
        <f>DATEVALUE(SUBSTITUTE(SUBSTITUTE(SUBSTITUTE(SUBSTITUTE('Aqui Planilha'!B32, ".", "/"), "-","/"), ";", "/"), ":", "/"))</f>
        <v>#VALUE!</v>
      </c>
      <c r="C32" s="9" t="str">
        <f>UPPER('Aqui Planilha'!C32)</f>
        <v/>
      </c>
      <c r="D32" s="13" t="str">
        <f>SUBSTITUTE(SUBSTITUTE(SUBSTITUTE(SUBSTITUTE('Aqui Planilha'!D32, ".", ""), "-",""), ";", ""), ":", "")</f>
        <v/>
      </c>
      <c r="E32" s="9" t="str">
        <f>UPPER(ACENTO('Aqui Planilha'!E32))</f>
        <v/>
      </c>
      <c r="F32" s="9" t="str">
        <f>UPPER(ACENTO('Aqui Planilha'!F32))</f>
        <v/>
      </c>
      <c r="G32" s="9" t="str">
        <f>UPPER(ACENTO('Aqui Planilha'!G32))</f>
        <v/>
      </c>
      <c r="H32" s="14" t="str">
        <f>SUBSTITUTE(SUBSTITUTE(SUBSTITUTE(SUBSTITUTE(SUBSTITUTE('Aqui Planilha'!H32,"","0"),"Sn","0"),"SN","0"),"sn","0"),"sN","0")</f>
        <v/>
      </c>
      <c r="I32" s="9" t="str">
        <f>UPPER(ACENTO('Aqui Planilha'!I32))</f>
        <v/>
      </c>
      <c r="J32" s="9" t="str">
        <f>UPPER(ACENTO('Aqui Planilha'!J32))</f>
        <v/>
      </c>
      <c r="K32" s="9" t="str">
        <f>UPPER(ACENTO('Aqui Planilha'!K32))</f>
        <v/>
      </c>
      <c r="L32" s="15" t="e">
        <f>(REPT("0",11-LEN(FormulaOcult!L32))&amp;FormulaOcult!L32)</f>
        <v>#VALUE!</v>
      </c>
      <c r="M32" s="13" t="str">
        <f>SUBSTITUTE(SUBSTITUTE(SUBSTITUTE(SUBSTITUTE('Aqui Planilha'!M32, ".", ""), "-",""), ";", ""), ":", "")</f>
        <v/>
      </c>
      <c r="N32" s="12" t="e">
        <f>DATEVALUE(SUBSTITUTE(SUBSTITUTE(SUBSTITUTE(SUBSTITUTE(SUBSTITUTE('Aqui Planilha'!N32, ".", "/"), "-","/"), ";", "/"), ":", "/"), "/", "/"))</f>
        <v>#VALUE!</v>
      </c>
      <c r="O32" s="9" t="str">
        <f>UPPER(ACENTO('Aqui Planilha'!O32))</f>
        <v/>
      </c>
      <c r="P32" s="9" t="str">
        <f>UPPER(ACENTO('Aqui Planilha'!P32))</f>
        <v/>
      </c>
      <c r="Q32" s="11">
        <f>'Aqui Planilha'!Q32</f>
        <v>0</v>
      </c>
      <c r="R32" s="9" t="str">
        <f>UPPER(ACENTO('Aqui Planilha'!R32))</f>
        <v/>
      </c>
      <c r="S32" s="16" t="str">
        <f>SUBSTITUTE(SUBSTITUTE(SUBSTITUTE(SUBSTITUTE('Aqui Planilha'!S32, ".", ""), "-",""), ";", ""), ":", "")</f>
        <v/>
      </c>
      <c r="T32" s="16" t="str">
        <f>SUBSTITUTE(SUBSTITUTE(SUBSTITUTE(SUBSTITUTE('Aqui Planilha'!T32, ".", ""), "-",""), ";", ""), ":", "")</f>
        <v/>
      </c>
      <c r="U32" s="16" t="str">
        <f>SUBSTITUTE(SUBSTITUTE(SUBSTITUTE(SUBSTITUTE('Aqui Planilha'!U32, ".", ""), "-",""), ";", ""), ":", "")</f>
        <v/>
      </c>
      <c r="V32" s="16" t="str">
        <f>SUBSTITUTE(SUBSTITUTE(SUBSTITUTE(SUBSTITUTE('Aqui Planilha'!V32, ".", ""), "-",""), ";", ""), ":", "")</f>
        <v/>
      </c>
      <c r="W32" s="11" t="str">
        <f>SUBSTITUTE(SUBSTITUTE(SUBSTITUTE(SUBSTITUTE('Aqui Planilha'!W32, ".", ""), "-",""), ";", ""), ":", "")</f>
        <v/>
      </c>
    </row>
    <row r="33" spans="1:23" x14ac:dyDescent="0.25">
      <c r="A33" s="39" t="str">
        <f>UPPER(ACENTO('Aqui Planilha'!A33))</f>
        <v/>
      </c>
      <c r="B33" s="12" t="e">
        <f>DATEVALUE(SUBSTITUTE(SUBSTITUTE(SUBSTITUTE(SUBSTITUTE('Aqui Planilha'!B33, ".", "/"), "-","/"), ";", "/"), ":", "/"))</f>
        <v>#VALUE!</v>
      </c>
      <c r="C33" s="9" t="str">
        <f>UPPER('Aqui Planilha'!C33)</f>
        <v/>
      </c>
      <c r="D33" s="13" t="str">
        <f>SUBSTITUTE(SUBSTITUTE(SUBSTITUTE(SUBSTITUTE('Aqui Planilha'!D33, ".", ""), "-",""), ";", ""), ":", "")</f>
        <v/>
      </c>
      <c r="E33" s="9" t="str">
        <f>UPPER(ACENTO('Aqui Planilha'!E33))</f>
        <v/>
      </c>
      <c r="F33" s="9" t="str">
        <f>UPPER(ACENTO('Aqui Planilha'!F33))</f>
        <v/>
      </c>
      <c r="G33" s="9" t="str">
        <f>UPPER(ACENTO('Aqui Planilha'!G33))</f>
        <v/>
      </c>
      <c r="H33" s="14" t="str">
        <f>SUBSTITUTE(SUBSTITUTE(SUBSTITUTE(SUBSTITUTE(SUBSTITUTE('Aqui Planilha'!H33,"","0"),"Sn","0"),"SN","0"),"sn","0"),"sN","0")</f>
        <v/>
      </c>
      <c r="I33" s="9" t="str">
        <f>UPPER(ACENTO('Aqui Planilha'!I33))</f>
        <v/>
      </c>
      <c r="J33" s="9" t="str">
        <f>UPPER(ACENTO('Aqui Planilha'!J33))</f>
        <v/>
      </c>
      <c r="K33" s="9" t="str">
        <f>UPPER(ACENTO('Aqui Planilha'!K33))</f>
        <v/>
      </c>
      <c r="L33" s="15" t="e">
        <f>(REPT("0",11-LEN(FormulaOcult!L33))&amp;FormulaOcult!L33)</f>
        <v>#VALUE!</v>
      </c>
      <c r="M33" s="13" t="str">
        <f>SUBSTITUTE(SUBSTITUTE(SUBSTITUTE(SUBSTITUTE('Aqui Planilha'!M33, ".", ""), "-",""), ";", ""), ":", "")</f>
        <v/>
      </c>
      <c r="N33" s="12" t="e">
        <f>DATEVALUE(SUBSTITUTE(SUBSTITUTE(SUBSTITUTE(SUBSTITUTE(SUBSTITUTE('Aqui Planilha'!N33, ".", "/"), "-","/"), ";", "/"), ":", "/"), "/", "/"))</f>
        <v>#VALUE!</v>
      </c>
      <c r="O33" s="9" t="str">
        <f>UPPER(ACENTO('Aqui Planilha'!O33))</f>
        <v/>
      </c>
      <c r="P33" s="9" t="str">
        <f>UPPER(ACENTO('Aqui Planilha'!P33))</f>
        <v/>
      </c>
      <c r="Q33" s="11">
        <f>'Aqui Planilha'!Q33</f>
        <v>0</v>
      </c>
      <c r="R33" s="9" t="str">
        <f>UPPER(ACENTO('Aqui Planilha'!R33))</f>
        <v/>
      </c>
      <c r="S33" s="16" t="str">
        <f>SUBSTITUTE(SUBSTITUTE(SUBSTITUTE(SUBSTITUTE('Aqui Planilha'!S33, ".", ""), "-",""), ";", ""), ":", "")</f>
        <v/>
      </c>
      <c r="T33" s="16" t="str">
        <f>SUBSTITUTE(SUBSTITUTE(SUBSTITUTE(SUBSTITUTE('Aqui Planilha'!T33, ".", ""), "-",""), ";", ""), ":", "")</f>
        <v/>
      </c>
      <c r="U33" s="16" t="str">
        <f>SUBSTITUTE(SUBSTITUTE(SUBSTITUTE(SUBSTITUTE('Aqui Planilha'!U33, ".", ""), "-",""), ";", ""), ":", "")</f>
        <v/>
      </c>
      <c r="V33" s="16" t="str">
        <f>SUBSTITUTE(SUBSTITUTE(SUBSTITUTE(SUBSTITUTE('Aqui Planilha'!V33, ".", ""), "-",""), ";", ""), ":", "")</f>
        <v/>
      </c>
      <c r="W33" s="11" t="str">
        <f>SUBSTITUTE(SUBSTITUTE(SUBSTITUTE(SUBSTITUTE('Aqui Planilha'!W33, ".", ""), "-",""), ";", ""), ":", "")</f>
        <v/>
      </c>
    </row>
    <row r="34" spans="1:23" x14ac:dyDescent="0.25">
      <c r="A34" s="39" t="str">
        <f>UPPER(ACENTO('Aqui Planilha'!A34))</f>
        <v/>
      </c>
      <c r="B34" s="12" t="e">
        <f>DATEVALUE(SUBSTITUTE(SUBSTITUTE(SUBSTITUTE(SUBSTITUTE('Aqui Planilha'!B34, ".", "/"), "-","/"), ";", "/"), ":", "/"))</f>
        <v>#VALUE!</v>
      </c>
      <c r="C34" s="9" t="str">
        <f>UPPER('Aqui Planilha'!C34)</f>
        <v/>
      </c>
      <c r="D34" s="13" t="str">
        <f>SUBSTITUTE(SUBSTITUTE(SUBSTITUTE(SUBSTITUTE('Aqui Planilha'!D34, ".", ""), "-",""), ";", ""), ":", "")</f>
        <v/>
      </c>
      <c r="E34" s="9" t="str">
        <f>UPPER(ACENTO('Aqui Planilha'!E34))</f>
        <v/>
      </c>
      <c r="F34" s="9" t="str">
        <f>UPPER(ACENTO('Aqui Planilha'!F34))</f>
        <v/>
      </c>
      <c r="G34" s="9" t="str">
        <f>UPPER(ACENTO('Aqui Planilha'!G34))</f>
        <v/>
      </c>
      <c r="H34" s="14" t="str">
        <f>SUBSTITUTE(SUBSTITUTE(SUBSTITUTE(SUBSTITUTE(SUBSTITUTE('Aqui Planilha'!H34,"","0"),"Sn","0"),"SN","0"),"sn","0"),"sN","0")</f>
        <v/>
      </c>
      <c r="I34" s="9" t="str">
        <f>UPPER(ACENTO('Aqui Planilha'!I34))</f>
        <v/>
      </c>
      <c r="J34" s="9" t="str">
        <f>UPPER(ACENTO('Aqui Planilha'!J34))</f>
        <v/>
      </c>
      <c r="K34" s="9" t="str">
        <f>UPPER(ACENTO('Aqui Planilha'!K34))</f>
        <v/>
      </c>
      <c r="L34" s="15" t="e">
        <f>(REPT("0",11-LEN(FormulaOcult!L34))&amp;FormulaOcult!L34)</f>
        <v>#VALUE!</v>
      </c>
      <c r="M34" s="13" t="str">
        <f>SUBSTITUTE(SUBSTITUTE(SUBSTITUTE(SUBSTITUTE('Aqui Planilha'!M34, ".", ""), "-",""), ";", ""), ":", "")</f>
        <v/>
      </c>
      <c r="N34" s="12" t="e">
        <f>DATEVALUE(SUBSTITUTE(SUBSTITUTE(SUBSTITUTE(SUBSTITUTE(SUBSTITUTE('Aqui Planilha'!N34, ".", "/"), "-","/"), ";", "/"), ":", "/"), "/", "/"))</f>
        <v>#VALUE!</v>
      </c>
      <c r="O34" s="9" t="str">
        <f>UPPER(ACENTO('Aqui Planilha'!O34))</f>
        <v/>
      </c>
      <c r="P34" s="9" t="str">
        <f>UPPER(ACENTO('Aqui Planilha'!P34))</f>
        <v/>
      </c>
      <c r="Q34" s="11">
        <f>'Aqui Planilha'!Q34</f>
        <v>0</v>
      </c>
      <c r="R34" s="9" t="str">
        <f>UPPER(ACENTO('Aqui Planilha'!R34))</f>
        <v/>
      </c>
      <c r="S34" s="16" t="str">
        <f>SUBSTITUTE(SUBSTITUTE(SUBSTITUTE(SUBSTITUTE('Aqui Planilha'!S34, ".", ""), "-",""), ";", ""), ":", "")</f>
        <v/>
      </c>
      <c r="T34" s="16" t="str">
        <f>SUBSTITUTE(SUBSTITUTE(SUBSTITUTE(SUBSTITUTE('Aqui Planilha'!T34, ".", ""), "-",""), ";", ""), ":", "")</f>
        <v/>
      </c>
      <c r="U34" s="16" t="str">
        <f>SUBSTITUTE(SUBSTITUTE(SUBSTITUTE(SUBSTITUTE('Aqui Planilha'!U34, ".", ""), "-",""), ";", ""), ":", "")</f>
        <v/>
      </c>
      <c r="V34" s="16" t="str">
        <f>SUBSTITUTE(SUBSTITUTE(SUBSTITUTE(SUBSTITUTE('Aqui Planilha'!V34, ".", ""), "-",""), ";", ""), ":", "")</f>
        <v/>
      </c>
      <c r="W34" s="11" t="str">
        <f>SUBSTITUTE(SUBSTITUTE(SUBSTITUTE(SUBSTITUTE('Aqui Planilha'!W34, ".", ""), "-",""), ";", ""), ":", "")</f>
        <v/>
      </c>
    </row>
    <row r="35" spans="1:23" x14ac:dyDescent="0.25">
      <c r="A35" s="39" t="str">
        <f>UPPER(ACENTO('Aqui Planilha'!A35))</f>
        <v/>
      </c>
      <c r="B35" s="12" t="e">
        <f>DATEVALUE(SUBSTITUTE(SUBSTITUTE(SUBSTITUTE(SUBSTITUTE('Aqui Planilha'!B35, ".", "/"), "-","/"), ";", "/"), ":", "/"))</f>
        <v>#VALUE!</v>
      </c>
      <c r="C35" s="9" t="str">
        <f>UPPER('Aqui Planilha'!C35)</f>
        <v/>
      </c>
      <c r="D35" s="13" t="str">
        <f>SUBSTITUTE(SUBSTITUTE(SUBSTITUTE(SUBSTITUTE('Aqui Planilha'!D35, ".", ""), "-",""), ";", ""), ":", "")</f>
        <v/>
      </c>
      <c r="E35" s="9" t="str">
        <f>UPPER(ACENTO('Aqui Planilha'!E35))</f>
        <v/>
      </c>
      <c r="F35" s="9" t="str">
        <f>UPPER(ACENTO('Aqui Planilha'!F35))</f>
        <v/>
      </c>
      <c r="G35" s="9" t="str">
        <f>UPPER(ACENTO('Aqui Planilha'!G35))</f>
        <v/>
      </c>
      <c r="H35" s="14" t="str">
        <f>SUBSTITUTE(SUBSTITUTE(SUBSTITUTE(SUBSTITUTE(SUBSTITUTE('Aqui Planilha'!H35,"","0"),"Sn","0"),"SN","0"),"sn","0"),"sN","0")</f>
        <v/>
      </c>
      <c r="I35" s="9" t="str">
        <f>UPPER(ACENTO('Aqui Planilha'!I35))</f>
        <v/>
      </c>
      <c r="J35" s="9" t="str">
        <f>UPPER(ACENTO('Aqui Planilha'!J35))</f>
        <v/>
      </c>
      <c r="K35" s="9" t="str">
        <f>UPPER(ACENTO('Aqui Planilha'!K35))</f>
        <v/>
      </c>
      <c r="L35" s="15" t="e">
        <f>(REPT("0",11-LEN(FormulaOcult!L35))&amp;FormulaOcult!L35)</f>
        <v>#VALUE!</v>
      </c>
      <c r="M35" s="13" t="str">
        <f>SUBSTITUTE(SUBSTITUTE(SUBSTITUTE(SUBSTITUTE('Aqui Planilha'!M35, ".", ""), "-",""), ";", ""), ":", "")</f>
        <v/>
      </c>
      <c r="N35" s="12" t="e">
        <f>DATEVALUE(SUBSTITUTE(SUBSTITUTE(SUBSTITUTE(SUBSTITUTE(SUBSTITUTE('Aqui Planilha'!N35, ".", "/"), "-","/"), ";", "/"), ":", "/"), "/", "/"))</f>
        <v>#VALUE!</v>
      </c>
      <c r="O35" s="9" t="str">
        <f>UPPER(ACENTO('Aqui Planilha'!O35))</f>
        <v/>
      </c>
      <c r="P35" s="9" t="str">
        <f>UPPER(ACENTO('Aqui Planilha'!P35))</f>
        <v/>
      </c>
      <c r="Q35" s="11">
        <f>'Aqui Planilha'!Q35</f>
        <v>0</v>
      </c>
      <c r="R35" s="9" t="str">
        <f>UPPER(ACENTO('Aqui Planilha'!R35))</f>
        <v/>
      </c>
      <c r="S35" s="16" t="str">
        <f>SUBSTITUTE(SUBSTITUTE(SUBSTITUTE(SUBSTITUTE('Aqui Planilha'!S35, ".", ""), "-",""), ";", ""), ":", "")</f>
        <v/>
      </c>
      <c r="T35" s="16" t="str">
        <f>SUBSTITUTE(SUBSTITUTE(SUBSTITUTE(SUBSTITUTE('Aqui Planilha'!T35, ".", ""), "-",""), ";", ""), ":", "")</f>
        <v/>
      </c>
      <c r="U35" s="16" t="str">
        <f>SUBSTITUTE(SUBSTITUTE(SUBSTITUTE(SUBSTITUTE('Aqui Planilha'!U35, ".", ""), "-",""), ";", ""), ":", "")</f>
        <v/>
      </c>
      <c r="V35" s="16" t="str">
        <f>SUBSTITUTE(SUBSTITUTE(SUBSTITUTE(SUBSTITUTE('Aqui Planilha'!V35, ".", ""), "-",""), ";", ""), ":", "")</f>
        <v/>
      </c>
      <c r="W35" s="11" t="str">
        <f>SUBSTITUTE(SUBSTITUTE(SUBSTITUTE(SUBSTITUTE('Aqui Planilha'!W35, ".", ""), "-",""), ";", ""), ":", "")</f>
        <v/>
      </c>
    </row>
    <row r="36" spans="1:23" x14ac:dyDescent="0.25">
      <c r="A36" s="39" t="str">
        <f>UPPER(ACENTO('Aqui Planilha'!A36))</f>
        <v/>
      </c>
      <c r="B36" s="12" t="e">
        <f>DATEVALUE(SUBSTITUTE(SUBSTITUTE(SUBSTITUTE(SUBSTITUTE('Aqui Planilha'!B36, ".", "/"), "-","/"), ";", "/"), ":", "/"))</f>
        <v>#VALUE!</v>
      </c>
      <c r="C36" s="9" t="str">
        <f>UPPER('Aqui Planilha'!C36)</f>
        <v/>
      </c>
      <c r="D36" s="13" t="str">
        <f>SUBSTITUTE(SUBSTITUTE(SUBSTITUTE(SUBSTITUTE('Aqui Planilha'!D36, ".", ""), "-",""), ";", ""), ":", "")</f>
        <v/>
      </c>
      <c r="E36" s="9" t="str">
        <f>UPPER(ACENTO('Aqui Planilha'!E36))</f>
        <v/>
      </c>
      <c r="F36" s="9" t="str">
        <f>UPPER(ACENTO('Aqui Planilha'!F36))</f>
        <v/>
      </c>
      <c r="G36" s="9" t="str">
        <f>UPPER(ACENTO('Aqui Planilha'!G36))</f>
        <v/>
      </c>
      <c r="H36" s="14" t="str">
        <f>SUBSTITUTE(SUBSTITUTE(SUBSTITUTE(SUBSTITUTE(SUBSTITUTE('Aqui Planilha'!H36,"","0"),"Sn","0"),"SN","0"),"sn","0"),"sN","0")</f>
        <v/>
      </c>
      <c r="I36" s="9" t="str">
        <f>UPPER(ACENTO('Aqui Planilha'!I36))</f>
        <v/>
      </c>
      <c r="J36" s="9" t="str">
        <f>UPPER(ACENTO('Aqui Planilha'!J36))</f>
        <v/>
      </c>
      <c r="K36" s="9" t="str">
        <f>UPPER(ACENTO('Aqui Planilha'!K36))</f>
        <v/>
      </c>
      <c r="L36" s="15" t="e">
        <f>(REPT("0",11-LEN(FormulaOcult!L36))&amp;FormulaOcult!L36)</f>
        <v>#VALUE!</v>
      </c>
      <c r="M36" s="13" t="str">
        <f>SUBSTITUTE(SUBSTITUTE(SUBSTITUTE(SUBSTITUTE('Aqui Planilha'!M36, ".", ""), "-",""), ";", ""), ":", "")</f>
        <v/>
      </c>
      <c r="N36" s="12" t="e">
        <f>DATEVALUE(SUBSTITUTE(SUBSTITUTE(SUBSTITUTE(SUBSTITUTE(SUBSTITUTE('Aqui Planilha'!N36, ".", "/"), "-","/"), ";", "/"), ":", "/"), "/", "/"))</f>
        <v>#VALUE!</v>
      </c>
      <c r="O36" s="9" t="str">
        <f>UPPER(ACENTO('Aqui Planilha'!O36))</f>
        <v/>
      </c>
      <c r="P36" s="9" t="str">
        <f>UPPER(ACENTO('Aqui Planilha'!P36))</f>
        <v/>
      </c>
      <c r="Q36" s="11">
        <f>'Aqui Planilha'!Q36</f>
        <v>0</v>
      </c>
      <c r="R36" s="9" t="str">
        <f>UPPER(ACENTO('Aqui Planilha'!R36))</f>
        <v/>
      </c>
      <c r="S36" s="16" t="str">
        <f>SUBSTITUTE(SUBSTITUTE(SUBSTITUTE(SUBSTITUTE('Aqui Planilha'!S36, ".", ""), "-",""), ";", ""), ":", "")</f>
        <v/>
      </c>
      <c r="T36" s="16" t="str">
        <f>SUBSTITUTE(SUBSTITUTE(SUBSTITUTE(SUBSTITUTE('Aqui Planilha'!T36, ".", ""), "-",""), ";", ""), ":", "")</f>
        <v/>
      </c>
      <c r="U36" s="16" t="str">
        <f>SUBSTITUTE(SUBSTITUTE(SUBSTITUTE(SUBSTITUTE('Aqui Planilha'!U36, ".", ""), "-",""), ";", ""), ":", "")</f>
        <v/>
      </c>
      <c r="V36" s="16" t="str">
        <f>SUBSTITUTE(SUBSTITUTE(SUBSTITUTE(SUBSTITUTE('Aqui Planilha'!V36, ".", ""), "-",""), ";", ""), ":", "")</f>
        <v/>
      </c>
      <c r="W36" s="11" t="str">
        <f>SUBSTITUTE(SUBSTITUTE(SUBSTITUTE(SUBSTITUTE('Aqui Planilha'!W36, ".", ""), "-",""), ";", ""), ":", "")</f>
        <v/>
      </c>
    </row>
    <row r="37" spans="1:23" x14ac:dyDescent="0.25">
      <c r="A37" s="39" t="str">
        <f>UPPER(ACENTO('Aqui Planilha'!A37))</f>
        <v/>
      </c>
      <c r="B37" s="12" t="e">
        <f>DATEVALUE(SUBSTITUTE(SUBSTITUTE(SUBSTITUTE(SUBSTITUTE('Aqui Planilha'!B37, ".", "/"), "-","/"), ";", "/"), ":", "/"))</f>
        <v>#VALUE!</v>
      </c>
      <c r="C37" s="9" t="str">
        <f>UPPER('Aqui Planilha'!C37)</f>
        <v/>
      </c>
      <c r="D37" s="13" t="str">
        <f>SUBSTITUTE(SUBSTITUTE(SUBSTITUTE(SUBSTITUTE('Aqui Planilha'!D37, ".", ""), "-",""), ";", ""), ":", "")</f>
        <v/>
      </c>
      <c r="E37" s="9" t="str">
        <f>UPPER(ACENTO('Aqui Planilha'!E37))</f>
        <v/>
      </c>
      <c r="F37" s="9" t="str">
        <f>UPPER(ACENTO('Aqui Planilha'!F37))</f>
        <v/>
      </c>
      <c r="G37" s="9" t="str">
        <f>UPPER(ACENTO('Aqui Planilha'!G37))</f>
        <v/>
      </c>
      <c r="H37" s="14" t="str">
        <f>SUBSTITUTE(SUBSTITUTE(SUBSTITUTE(SUBSTITUTE(SUBSTITUTE('Aqui Planilha'!H37,"","0"),"Sn","0"),"SN","0"),"sn","0"),"sN","0")</f>
        <v/>
      </c>
      <c r="I37" s="9" t="str">
        <f>UPPER(ACENTO('Aqui Planilha'!I37))</f>
        <v/>
      </c>
      <c r="J37" s="9" t="str">
        <f>UPPER(ACENTO('Aqui Planilha'!J37))</f>
        <v/>
      </c>
      <c r="K37" s="9" t="str">
        <f>UPPER(ACENTO('Aqui Planilha'!K37))</f>
        <v/>
      </c>
      <c r="L37" s="15" t="e">
        <f>(REPT("0",11-LEN(FormulaOcult!L37))&amp;FormulaOcult!L37)</f>
        <v>#VALUE!</v>
      </c>
      <c r="M37" s="13" t="str">
        <f>SUBSTITUTE(SUBSTITUTE(SUBSTITUTE(SUBSTITUTE('Aqui Planilha'!M37, ".", ""), "-",""), ";", ""), ":", "")</f>
        <v/>
      </c>
      <c r="N37" s="12" t="e">
        <f>DATEVALUE(SUBSTITUTE(SUBSTITUTE(SUBSTITUTE(SUBSTITUTE(SUBSTITUTE('Aqui Planilha'!N37, ".", "/"), "-","/"), ";", "/"), ":", "/"), "/", "/"))</f>
        <v>#VALUE!</v>
      </c>
      <c r="O37" s="9" t="str">
        <f>UPPER(ACENTO('Aqui Planilha'!O37))</f>
        <v/>
      </c>
      <c r="P37" s="9" t="str">
        <f>UPPER(ACENTO('Aqui Planilha'!P37))</f>
        <v/>
      </c>
      <c r="Q37" s="11">
        <f>'Aqui Planilha'!Q37</f>
        <v>0</v>
      </c>
      <c r="R37" s="9" t="str">
        <f>UPPER(ACENTO('Aqui Planilha'!R37))</f>
        <v/>
      </c>
      <c r="S37" s="16" t="str">
        <f>SUBSTITUTE(SUBSTITUTE(SUBSTITUTE(SUBSTITUTE('Aqui Planilha'!S37, ".", ""), "-",""), ";", ""), ":", "")</f>
        <v/>
      </c>
      <c r="T37" s="16" t="str">
        <f>SUBSTITUTE(SUBSTITUTE(SUBSTITUTE(SUBSTITUTE('Aqui Planilha'!T37, ".", ""), "-",""), ";", ""), ":", "")</f>
        <v/>
      </c>
      <c r="U37" s="16" t="str">
        <f>SUBSTITUTE(SUBSTITUTE(SUBSTITUTE(SUBSTITUTE('Aqui Planilha'!U37, ".", ""), "-",""), ";", ""), ":", "")</f>
        <v/>
      </c>
      <c r="V37" s="16" t="str">
        <f>SUBSTITUTE(SUBSTITUTE(SUBSTITUTE(SUBSTITUTE('Aqui Planilha'!V37, ".", ""), "-",""), ";", ""), ":", "")</f>
        <v/>
      </c>
      <c r="W37" s="11" t="str">
        <f>SUBSTITUTE(SUBSTITUTE(SUBSTITUTE(SUBSTITUTE('Aqui Planilha'!W37, ".", ""), "-",""), ";", ""), ":", "")</f>
        <v/>
      </c>
    </row>
    <row r="38" spans="1:23" x14ac:dyDescent="0.25">
      <c r="A38" s="39" t="str">
        <f>UPPER(ACENTO('Aqui Planilha'!A38))</f>
        <v/>
      </c>
      <c r="B38" s="12" t="e">
        <f>DATEVALUE(SUBSTITUTE(SUBSTITUTE(SUBSTITUTE(SUBSTITUTE('Aqui Planilha'!B38, ".", "/"), "-","/"), ";", "/"), ":", "/"))</f>
        <v>#VALUE!</v>
      </c>
      <c r="C38" s="9" t="str">
        <f>UPPER('Aqui Planilha'!C38)</f>
        <v/>
      </c>
      <c r="D38" s="13" t="str">
        <f>SUBSTITUTE(SUBSTITUTE(SUBSTITUTE(SUBSTITUTE('Aqui Planilha'!D38, ".", ""), "-",""), ";", ""), ":", "")</f>
        <v/>
      </c>
      <c r="E38" s="9" t="str">
        <f>UPPER(ACENTO('Aqui Planilha'!E38))</f>
        <v/>
      </c>
      <c r="F38" s="9" t="str">
        <f>UPPER(ACENTO('Aqui Planilha'!F38))</f>
        <v/>
      </c>
      <c r="G38" s="9" t="str">
        <f>UPPER(ACENTO('Aqui Planilha'!G38))</f>
        <v/>
      </c>
      <c r="H38" s="14" t="str">
        <f>SUBSTITUTE(SUBSTITUTE(SUBSTITUTE(SUBSTITUTE(SUBSTITUTE('Aqui Planilha'!H38,"","0"),"Sn","0"),"SN","0"),"sn","0"),"sN","0")</f>
        <v/>
      </c>
      <c r="I38" s="9" t="str">
        <f>UPPER(ACENTO('Aqui Planilha'!I38))</f>
        <v/>
      </c>
      <c r="J38" s="9" t="str">
        <f>UPPER(ACENTO('Aqui Planilha'!J38))</f>
        <v/>
      </c>
      <c r="K38" s="9" t="str">
        <f>UPPER(ACENTO('Aqui Planilha'!K38))</f>
        <v/>
      </c>
      <c r="L38" s="15" t="e">
        <f>(REPT("0",11-LEN(FormulaOcult!L38))&amp;FormulaOcult!L38)</f>
        <v>#VALUE!</v>
      </c>
      <c r="M38" s="13" t="str">
        <f>SUBSTITUTE(SUBSTITUTE(SUBSTITUTE(SUBSTITUTE('Aqui Planilha'!M38, ".", ""), "-",""), ";", ""), ":", "")</f>
        <v/>
      </c>
      <c r="N38" s="12" t="e">
        <f>DATEVALUE(SUBSTITUTE(SUBSTITUTE(SUBSTITUTE(SUBSTITUTE(SUBSTITUTE('Aqui Planilha'!N38, ".", "/"), "-","/"), ";", "/"), ":", "/"), "/", "/"))</f>
        <v>#VALUE!</v>
      </c>
      <c r="O38" s="9" t="str">
        <f>UPPER(ACENTO('Aqui Planilha'!O38))</f>
        <v/>
      </c>
      <c r="P38" s="9" t="str">
        <f>UPPER(ACENTO('Aqui Planilha'!P38))</f>
        <v/>
      </c>
      <c r="Q38" s="11">
        <f>'Aqui Planilha'!Q38</f>
        <v>0</v>
      </c>
      <c r="R38" s="9" t="str">
        <f>UPPER(ACENTO('Aqui Planilha'!R38))</f>
        <v/>
      </c>
      <c r="S38" s="16" t="str">
        <f>SUBSTITUTE(SUBSTITUTE(SUBSTITUTE(SUBSTITUTE('Aqui Planilha'!S38, ".", ""), "-",""), ";", ""), ":", "")</f>
        <v/>
      </c>
      <c r="T38" s="16" t="str">
        <f>SUBSTITUTE(SUBSTITUTE(SUBSTITUTE(SUBSTITUTE('Aqui Planilha'!T38, ".", ""), "-",""), ";", ""), ":", "")</f>
        <v/>
      </c>
      <c r="U38" s="16" t="str">
        <f>SUBSTITUTE(SUBSTITUTE(SUBSTITUTE(SUBSTITUTE('Aqui Planilha'!U38, ".", ""), "-",""), ";", ""), ":", "")</f>
        <v/>
      </c>
      <c r="V38" s="16" t="str">
        <f>SUBSTITUTE(SUBSTITUTE(SUBSTITUTE(SUBSTITUTE('Aqui Planilha'!V38, ".", ""), "-",""), ";", ""), ":", "")</f>
        <v/>
      </c>
      <c r="W38" s="11" t="str">
        <f>SUBSTITUTE(SUBSTITUTE(SUBSTITUTE(SUBSTITUTE('Aqui Planilha'!W38, ".", ""), "-",""), ";", ""), ":", "")</f>
        <v/>
      </c>
    </row>
    <row r="39" spans="1:23" x14ac:dyDescent="0.25">
      <c r="A39" s="39" t="str">
        <f>UPPER(ACENTO('Aqui Planilha'!A39))</f>
        <v/>
      </c>
      <c r="B39" s="12" t="e">
        <f>DATEVALUE(SUBSTITUTE(SUBSTITUTE(SUBSTITUTE(SUBSTITUTE('Aqui Planilha'!B39, ".", "/"), "-","/"), ";", "/"), ":", "/"))</f>
        <v>#VALUE!</v>
      </c>
      <c r="C39" s="9" t="str">
        <f>UPPER('Aqui Planilha'!C39)</f>
        <v/>
      </c>
      <c r="D39" s="13" t="str">
        <f>SUBSTITUTE(SUBSTITUTE(SUBSTITUTE(SUBSTITUTE('Aqui Planilha'!D39, ".", ""), "-",""), ";", ""), ":", "")</f>
        <v/>
      </c>
      <c r="E39" s="9" t="str">
        <f>UPPER(ACENTO('Aqui Planilha'!E39))</f>
        <v/>
      </c>
      <c r="F39" s="9" t="str">
        <f>UPPER(ACENTO('Aqui Planilha'!F39))</f>
        <v/>
      </c>
      <c r="G39" s="9" t="str">
        <f>UPPER(ACENTO('Aqui Planilha'!G39))</f>
        <v/>
      </c>
      <c r="H39" s="14" t="str">
        <f>SUBSTITUTE(SUBSTITUTE(SUBSTITUTE(SUBSTITUTE(SUBSTITUTE('Aqui Planilha'!H39,"","0"),"Sn","0"),"SN","0"),"sn","0"),"sN","0")</f>
        <v/>
      </c>
      <c r="I39" s="9" t="str">
        <f>UPPER(ACENTO('Aqui Planilha'!I39))</f>
        <v/>
      </c>
      <c r="J39" s="9" t="str">
        <f>UPPER(ACENTO('Aqui Planilha'!J39))</f>
        <v/>
      </c>
      <c r="K39" s="9" t="str">
        <f>UPPER(ACENTO('Aqui Planilha'!K39))</f>
        <v/>
      </c>
      <c r="L39" s="15" t="e">
        <f>(REPT("0",11-LEN(FormulaOcult!L39))&amp;FormulaOcult!L39)</f>
        <v>#VALUE!</v>
      </c>
      <c r="M39" s="13" t="str">
        <f>SUBSTITUTE(SUBSTITUTE(SUBSTITUTE(SUBSTITUTE('Aqui Planilha'!M39, ".", ""), "-",""), ";", ""), ":", "")</f>
        <v/>
      </c>
      <c r="N39" s="12" t="e">
        <f>DATEVALUE(SUBSTITUTE(SUBSTITUTE(SUBSTITUTE(SUBSTITUTE(SUBSTITUTE('Aqui Planilha'!N39, ".", "/"), "-","/"), ";", "/"), ":", "/"), "/", "/"))</f>
        <v>#VALUE!</v>
      </c>
      <c r="O39" s="9" t="str">
        <f>UPPER(ACENTO('Aqui Planilha'!O39))</f>
        <v/>
      </c>
      <c r="P39" s="9" t="str">
        <f>UPPER(ACENTO('Aqui Planilha'!P39))</f>
        <v/>
      </c>
      <c r="Q39" s="11">
        <f>'Aqui Planilha'!Q39</f>
        <v>0</v>
      </c>
      <c r="R39" s="9" t="str">
        <f>UPPER(ACENTO('Aqui Planilha'!R39))</f>
        <v/>
      </c>
      <c r="S39" s="16" t="str">
        <f>SUBSTITUTE(SUBSTITUTE(SUBSTITUTE(SUBSTITUTE('Aqui Planilha'!S39, ".", ""), "-",""), ";", ""), ":", "")</f>
        <v/>
      </c>
      <c r="T39" s="16" t="str">
        <f>SUBSTITUTE(SUBSTITUTE(SUBSTITUTE(SUBSTITUTE('Aqui Planilha'!T39, ".", ""), "-",""), ";", ""), ":", "")</f>
        <v/>
      </c>
      <c r="U39" s="16" t="str">
        <f>SUBSTITUTE(SUBSTITUTE(SUBSTITUTE(SUBSTITUTE('Aqui Planilha'!U39, ".", ""), "-",""), ";", ""), ":", "")</f>
        <v/>
      </c>
      <c r="V39" s="16" t="str">
        <f>SUBSTITUTE(SUBSTITUTE(SUBSTITUTE(SUBSTITUTE('Aqui Planilha'!V39, ".", ""), "-",""), ";", ""), ":", "")</f>
        <v/>
      </c>
      <c r="W39" s="11" t="str">
        <f>SUBSTITUTE(SUBSTITUTE(SUBSTITUTE(SUBSTITUTE('Aqui Planilha'!W39, ".", ""), "-",""), ";", ""), ":", "")</f>
        <v/>
      </c>
    </row>
    <row r="40" spans="1:23" x14ac:dyDescent="0.25">
      <c r="A40" s="39" t="str">
        <f>UPPER(ACENTO('Aqui Planilha'!A40))</f>
        <v/>
      </c>
      <c r="B40" s="12" t="e">
        <f>DATEVALUE(SUBSTITUTE(SUBSTITUTE(SUBSTITUTE(SUBSTITUTE('Aqui Planilha'!B40, ".", "/"), "-","/"), ";", "/"), ":", "/"))</f>
        <v>#VALUE!</v>
      </c>
      <c r="C40" s="9" t="str">
        <f>UPPER('Aqui Planilha'!C40)</f>
        <v/>
      </c>
      <c r="D40" s="13" t="str">
        <f>SUBSTITUTE(SUBSTITUTE(SUBSTITUTE(SUBSTITUTE('Aqui Planilha'!D40, ".", ""), "-",""), ";", ""), ":", "")</f>
        <v/>
      </c>
      <c r="E40" s="9" t="str">
        <f>UPPER(ACENTO('Aqui Planilha'!E40))</f>
        <v/>
      </c>
      <c r="F40" s="9" t="str">
        <f>UPPER(ACENTO('Aqui Planilha'!F40))</f>
        <v/>
      </c>
      <c r="G40" s="9" t="str">
        <f>UPPER(ACENTO('Aqui Planilha'!G40))</f>
        <v/>
      </c>
      <c r="H40" s="14" t="str">
        <f>SUBSTITUTE(SUBSTITUTE(SUBSTITUTE(SUBSTITUTE(SUBSTITUTE('Aqui Planilha'!H40,"","0"),"Sn","0"),"SN","0"),"sn","0"),"sN","0")</f>
        <v/>
      </c>
      <c r="I40" s="9" t="str">
        <f>UPPER(ACENTO('Aqui Planilha'!I40))</f>
        <v/>
      </c>
      <c r="J40" s="9" t="str">
        <f>UPPER(ACENTO('Aqui Planilha'!J40))</f>
        <v/>
      </c>
      <c r="K40" s="9" t="str">
        <f>UPPER(ACENTO('Aqui Planilha'!K40))</f>
        <v/>
      </c>
      <c r="L40" s="15" t="e">
        <f>(REPT("0",11-LEN(FormulaOcult!L40))&amp;FormulaOcult!L40)</f>
        <v>#VALUE!</v>
      </c>
      <c r="M40" s="13" t="str">
        <f>SUBSTITUTE(SUBSTITUTE(SUBSTITUTE(SUBSTITUTE('Aqui Planilha'!M40, ".", ""), "-",""), ";", ""), ":", "")</f>
        <v/>
      </c>
      <c r="N40" s="12" t="e">
        <f>DATEVALUE(SUBSTITUTE(SUBSTITUTE(SUBSTITUTE(SUBSTITUTE(SUBSTITUTE('Aqui Planilha'!N40, ".", "/"), "-","/"), ";", "/"), ":", "/"), "/", "/"))</f>
        <v>#VALUE!</v>
      </c>
      <c r="O40" s="9" t="str">
        <f>UPPER(ACENTO('Aqui Planilha'!O40))</f>
        <v/>
      </c>
      <c r="P40" s="9" t="str">
        <f>UPPER(ACENTO('Aqui Planilha'!P40))</f>
        <v/>
      </c>
      <c r="Q40" s="11">
        <f>'Aqui Planilha'!Q40</f>
        <v>0</v>
      </c>
      <c r="R40" s="9" t="str">
        <f>UPPER(ACENTO('Aqui Planilha'!R40))</f>
        <v/>
      </c>
      <c r="S40" s="16" t="str">
        <f>SUBSTITUTE(SUBSTITUTE(SUBSTITUTE(SUBSTITUTE('Aqui Planilha'!S40, ".", ""), "-",""), ";", ""), ":", "")</f>
        <v/>
      </c>
      <c r="T40" s="16" t="str">
        <f>SUBSTITUTE(SUBSTITUTE(SUBSTITUTE(SUBSTITUTE('Aqui Planilha'!T40, ".", ""), "-",""), ";", ""), ":", "")</f>
        <v/>
      </c>
      <c r="U40" s="16" t="str">
        <f>SUBSTITUTE(SUBSTITUTE(SUBSTITUTE(SUBSTITUTE('Aqui Planilha'!U40, ".", ""), "-",""), ";", ""), ":", "")</f>
        <v/>
      </c>
      <c r="V40" s="16" t="str">
        <f>SUBSTITUTE(SUBSTITUTE(SUBSTITUTE(SUBSTITUTE('Aqui Planilha'!V40, ".", ""), "-",""), ";", ""), ":", "")</f>
        <v/>
      </c>
      <c r="W40" s="11" t="str">
        <f>SUBSTITUTE(SUBSTITUTE(SUBSTITUTE(SUBSTITUTE('Aqui Planilha'!W40, ".", ""), "-",""), ";", ""), ":", "")</f>
        <v/>
      </c>
    </row>
    <row r="41" spans="1:23" x14ac:dyDescent="0.25">
      <c r="A41" s="39" t="str">
        <f>UPPER(ACENTO('Aqui Planilha'!A41))</f>
        <v/>
      </c>
      <c r="B41" s="12" t="e">
        <f>DATEVALUE(SUBSTITUTE(SUBSTITUTE(SUBSTITUTE(SUBSTITUTE('Aqui Planilha'!B41, ".", "/"), "-","/"), ";", "/"), ":", "/"))</f>
        <v>#VALUE!</v>
      </c>
      <c r="C41" s="9" t="str">
        <f>UPPER('Aqui Planilha'!C41)</f>
        <v/>
      </c>
      <c r="D41" s="13" t="str">
        <f>SUBSTITUTE(SUBSTITUTE(SUBSTITUTE(SUBSTITUTE('Aqui Planilha'!D41, ".", ""), "-",""), ";", ""), ":", "")</f>
        <v/>
      </c>
      <c r="E41" s="9" t="str">
        <f>UPPER(ACENTO('Aqui Planilha'!E41))</f>
        <v/>
      </c>
      <c r="F41" s="9" t="str">
        <f>UPPER(ACENTO('Aqui Planilha'!F41))</f>
        <v/>
      </c>
      <c r="G41" s="9" t="str">
        <f>UPPER(ACENTO('Aqui Planilha'!G41))</f>
        <v/>
      </c>
      <c r="H41" s="14" t="str">
        <f>SUBSTITUTE(SUBSTITUTE(SUBSTITUTE(SUBSTITUTE(SUBSTITUTE('Aqui Planilha'!H41,"","0"),"Sn","0"),"SN","0"),"sn","0"),"sN","0")</f>
        <v/>
      </c>
      <c r="I41" s="9" t="str">
        <f>UPPER(ACENTO('Aqui Planilha'!I41))</f>
        <v/>
      </c>
      <c r="J41" s="9" t="str">
        <f>UPPER(ACENTO('Aqui Planilha'!J41))</f>
        <v/>
      </c>
      <c r="K41" s="9" t="str">
        <f>UPPER(ACENTO('Aqui Planilha'!K41))</f>
        <v/>
      </c>
      <c r="L41" s="15" t="e">
        <f>(REPT("0",11-LEN(FormulaOcult!L41))&amp;FormulaOcult!L41)</f>
        <v>#VALUE!</v>
      </c>
      <c r="M41" s="13" t="str">
        <f>SUBSTITUTE(SUBSTITUTE(SUBSTITUTE(SUBSTITUTE('Aqui Planilha'!M41, ".", ""), "-",""), ";", ""), ":", "")</f>
        <v/>
      </c>
      <c r="N41" s="12" t="e">
        <f>DATEVALUE(SUBSTITUTE(SUBSTITUTE(SUBSTITUTE(SUBSTITUTE(SUBSTITUTE('Aqui Planilha'!N41, ".", "/"), "-","/"), ";", "/"), ":", "/"), "/", "/"))</f>
        <v>#VALUE!</v>
      </c>
      <c r="O41" s="9" t="str">
        <f>UPPER(ACENTO('Aqui Planilha'!O41))</f>
        <v/>
      </c>
      <c r="P41" s="9" t="str">
        <f>UPPER(ACENTO('Aqui Planilha'!P41))</f>
        <v/>
      </c>
      <c r="Q41" s="11">
        <f>'Aqui Planilha'!Q41</f>
        <v>0</v>
      </c>
      <c r="R41" s="9" t="str">
        <f>UPPER(ACENTO('Aqui Planilha'!R41))</f>
        <v/>
      </c>
      <c r="S41" s="16" t="str">
        <f>SUBSTITUTE(SUBSTITUTE(SUBSTITUTE(SUBSTITUTE('Aqui Planilha'!S41, ".", ""), "-",""), ";", ""), ":", "")</f>
        <v/>
      </c>
      <c r="T41" s="16" t="str">
        <f>SUBSTITUTE(SUBSTITUTE(SUBSTITUTE(SUBSTITUTE('Aqui Planilha'!T41, ".", ""), "-",""), ";", ""), ":", "")</f>
        <v/>
      </c>
      <c r="U41" s="16" t="str">
        <f>SUBSTITUTE(SUBSTITUTE(SUBSTITUTE(SUBSTITUTE('Aqui Planilha'!U41, ".", ""), "-",""), ";", ""), ":", "")</f>
        <v/>
      </c>
      <c r="V41" s="16" t="str">
        <f>SUBSTITUTE(SUBSTITUTE(SUBSTITUTE(SUBSTITUTE('Aqui Planilha'!V41, ".", ""), "-",""), ";", ""), ":", "")</f>
        <v/>
      </c>
      <c r="W41" s="11" t="str">
        <f>SUBSTITUTE(SUBSTITUTE(SUBSTITUTE(SUBSTITUTE('Aqui Planilha'!W41, ".", ""), "-",""), ";", ""), ":", "")</f>
        <v/>
      </c>
    </row>
    <row r="42" spans="1:23" x14ac:dyDescent="0.25">
      <c r="A42" s="39" t="str">
        <f>UPPER(ACENTO('Aqui Planilha'!A42))</f>
        <v/>
      </c>
      <c r="B42" s="12" t="e">
        <f>DATEVALUE(SUBSTITUTE(SUBSTITUTE(SUBSTITUTE(SUBSTITUTE('Aqui Planilha'!B42, ".", "/"), "-","/"), ";", "/"), ":", "/"))</f>
        <v>#VALUE!</v>
      </c>
      <c r="C42" s="9" t="str">
        <f>UPPER('Aqui Planilha'!C42)</f>
        <v/>
      </c>
      <c r="D42" s="13" t="str">
        <f>SUBSTITUTE(SUBSTITUTE(SUBSTITUTE(SUBSTITUTE('Aqui Planilha'!D42, ".", ""), "-",""), ";", ""), ":", "")</f>
        <v/>
      </c>
      <c r="E42" s="9" t="str">
        <f>UPPER(ACENTO('Aqui Planilha'!E42))</f>
        <v/>
      </c>
      <c r="F42" s="9" t="str">
        <f>UPPER(ACENTO('Aqui Planilha'!F42))</f>
        <v/>
      </c>
      <c r="G42" s="9" t="str">
        <f>UPPER(ACENTO('Aqui Planilha'!G42))</f>
        <v/>
      </c>
      <c r="H42" s="14" t="str">
        <f>SUBSTITUTE(SUBSTITUTE(SUBSTITUTE(SUBSTITUTE(SUBSTITUTE('Aqui Planilha'!H42,"","0"),"Sn","0"),"SN","0"),"sn","0"),"sN","0")</f>
        <v/>
      </c>
      <c r="I42" s="9" t="str">
        <f>UPPER(ACENTO('Aqui Planilha'!I42))</f>
        <v/>
      </c>
      <c r="J42" s="9" t="str">
        <f>UPPER(ACENTO('Aqui Planilha'!J42))</f>
        <v/>
      </c>
      <c r="K42" s="9" t="str">
        <f>UPPER(ACENTO('Aqui Planilha'!K42))</f>
        <v/>
      </c>
      <c r="L42" s="15" t="e">
        <f>(REPT("0",11-LEN(FormulaOcult!L42))&amp;FormulaOcult!L42)</f>
        <v>#VALUE!</v>
      </c>
      <c r="M42" s="13" t="str">
        <f>SUBSTITUTE(SUBSTITUTE(SUBSTITUTE(SUBSTITUTE('Aqui Planilha'!M42, ".", ""), "-",""), ";", ""), ":", "")</f>
        <v/>
      </c>
      <c r="N42" s="12" t="e">
        <f>DATEVALUE(SUBSTITUTE(SUBSTITUTE(SUBSTITUTE(SUBSTITUTE(SUBSTITUTE('Aqui Planilha'!N42, ".", "/"), "-","/"), ";", "/"), ":", "/"), "/", "/"))</f>
        <v>#VALUE!</v>
      </c>
      <c r="O42" s="9" t="str">
        <f>UPPER(ACENTO('Aqui Planilha'!O42))</f>
        <v/>
      </c>
      <c r="P42" s="9" t="str">
        <f>UPPER(ACENTO('Aqui Planilha'!P42))</f>
        <v/>
      </c>
      <c r="Q42" s="11">
        <f>'Aqui Planilha'!Q42</f>
        <v>0</v>
      </c>
      <c r="R42" s="9" t="str">
        <f>UPPER(ACENTO('Aqui Planilha'!R42))</f>
        <v/>
      </c>
      <c r="S42" s="16" t="str">
        <f>SUBSTITUTE(SUBSTITUTE(SUBSTITUTE(SUBSTITUTE('Aqui Planilha'!S42, ".", ""), "-",""), ";", ""), ":", "")</f>
        <v/>
      </c>
      <c r="T42" s="16" t="str">
        <f>SUBSTITUTE(SUBSTITUTE(SUBSTITUTE(SUBSTITUTE('Aqui Planilha'!T42, ".", ""), "-",""), ";", ""), ":", "")</f>
        <v/>
      </c>
      <c r="U42" s="16" t="str">
        <f>SUBSTITUTE(SUBSTITUTE(SUBSTITUTE(SUBSTITUTE('Aqui Planilha'!U42, ".", ""), "-",""), ";", ""), ":", "")</f>
        <v/>
      </c>
      <c r="V42" s="16" t="str">
        <f>SUBSTITUTE(SUBSTITUTE(SUBSTITUTE(SUBSTITUTE('Aqui Planilha'!V42, ".", ""), "-",""), ";", ""), ":", "")</f>
        <v/>
      </c>
      <c r="W42" s="11" t="str">
        <f>SUBSTITUTE(SUBSTITUTE(SUBSTITUTE(SUBSTITUTE('Aqui Planilha'!W42, ".", ""), "-",""), ";", ""), ":", "")</f>
        <v/>
      </c>
    </row>
    <row r="43" spans="1:23" x14ac:dyDescent="0.25">
      <c r="A43" s="39" t="str">
        <f>UPPER(ACENTO('Aqui Planilha'!A43))</f>
        <v/>
      </c>
      <c r="B43" s="12" t="e">
        <f>DATEVALUE(SUBSTITUTE(SUBSTITUTE(SUBSTITUTE(SUBSTITUTE('Aqui Planilha'!B43, ".", "/"), "-","/"), ";", "/"), ":", "/"))</f>
        <v>#VALUE!</v>
      </c>
      <c r="C43" s="9" t="str">
        <f>UPPER('Aqui Planilha'!C43)</f>
        <v/>
      </c>
      <c r="D43" s="13" t="str">
        <f>SUBSTITUTE(SUBSTITUTE(SUBSTITUTE(SUBSTITUTE('Aqui Planilha'!D43, ".", ""), "-",""), ";", ""), ":", "")</f>
        <v/>
      </c>
      <c r="E43" s="9" t="str">
        <f>UPPER(ACENTO('Aqui Planilha'!E43))</f>
        <v/>
      </c>
      <c r="F43" s="9" t="str">
        <f>UPPER(ACENTO('Aqui Planilha'!F43))</f>
        <v/>
      </c>
      <c r="G43" s="9" t="str">
        <f>UPPER(ACENTO('Aqui Planilha'!G43))</f>
        <v/>
      </c>
      <c r="H43" s="14" t="str">
        <f>SUBSTITUTE(SUBSTITUTE(SUBSTITUTE(SUBSTITUTE(SUBSTITUTE('Aqui Planilha'!H43,"","0"),"Sn","0"),"SN","0"),"sn","0"),"sN","0")</f>
        <v/>
      </c>
      <c r="I43" s="9" t="str">
        <f>UPPER(ACENTO('Aqui Planilha'!I43))</f>
        <v/>
      </c>
      <c r="J43" s="9" t="str">
        <f>UPPER(ACENTO('Aqui Planilha'!J43))</f>
        <v/>
      </c>
      <c r="K43" s="9" t="str">
        <f>UPPER(ACENTO('Aqui Planilha'!K43))</f>
        <v/>
      </c>
      <c r="L43" s="15" t="e">
        <f>(REPT("0",11-LEN(FormulaOcult!L43))&amp;FormulaOcult!L43)</f>
        <v>#VALUE!</v>
      </c>
      <c r="M43" s="13" t="str">
        <f>SUBSTITUTE(SUBSTITUTE(SUBSTITUTE(SUBSTITUTE('Aqui Planilha'!M43, ".", ""), "-",""), ";", ""), ":", "")</f>
        <v/>
      </c>
      <c r="N43" s="12" t="e">
        <f>DATEVALUE(SUBSTITUTE(SUBSTITUTE(SUBSTITUTE(SUBSTITUTE(SUBSTITUTE('Aqui Planilha'!N43, ".", "/"), "-","/"), ";", "/"), ":", "/"), "/", "/"))</f>
        <v>#VALUE!</v>
      </c>
      <c r="O43" s="9" t="str">
        <f>UPPER(ACENTO('Aqui Planilha'!O43))</f>
        <v/>
      </c>
      <c r="P43" s="9" t="str">
        <f>UPPER(ACENTO('Aqui Planilha'!P43))</f>
        <v/>
      </c>
      <c r="Q43" s="11">
        <f>'Aqui Planilha'!Q43</f>
        <v>0</v>
      </c>
      <c r="R43" s="9" t="str">
        <f>UPPER(ACENTO('Aqui Planilha'!R43))</f>
        <v/>
      </c>
      <c r="S43" s="16" t="str">
        <f>SUBSTITUTE(SUBSTITUTE(SUBSTITUTE(SUBSTITUTE('Aqui Planilha'!S43, ".", ""), "-",""), ";", ""), ":", "")</f>
        <v/>
      </c>
      <c r="T43" s="16" t="str">
        <f>SUBSTITUTE(SUBSTITUTE(SUBSTITUTE(SUBSTITUTE('Aqui Planilha'!T43, ".", ""), "-",""), ";", ""), ":", "")</f>
        <v/>
      </c>
      <c r="U43" s="16" t="str">
        <f>SUBSTITUTE(SUBSTITUTE(SUBSTITUTE(SUBSTITUTE('Aqui Planilha'!U43, ".", ""), "-",""), ";", ""), ":", "")</f>
        <v/>
      </c>
      <c r="V43" s="16" t="str">
        <f>SUBSTITUTE(SUBSTITUTE(SUBSTITUTE(SUBSTITUTE('Aqui Planilha'!V43, ".", ""), "-",""), ";", ""), ":", "")</f>
        <v/>
      </c>
      <c r="W43" s="11" t="str">
        <f>SUBSTITUTE(SUBSTITUTE(SUBSTITUTE(SUBSTITUTE('Aqui Planilha'!W43, ".", ""), "-",""), ";", ""), ":", "")</f>
        <v/>
      </c>
    </row>
    <row r="44" spans="1:23" x14ac:dyDescent="0.25">
      <c r="A44" s="39" t="str">
        <f>UPPER(ACENTO('Aqui Planilha'!A44))</f>
        <v/>
      </c>
      <c r="B44" s="12" t="e">
        <f>DATEVALUE(SUBSTITUTE(SUBSTITUTE(SUBSTITUTE(SUBSTITUTE('Aqui Planilha'!B44, ".", "/"), "-","/"), ";", "/"), ":", "/"))</f>
        <v>#VALUE!</v>
      </c>
      <c r="C44" s="9" t="str">
        <f>UPPER('Aqui Planilha'!C44)</f>
        <v/>
      </c>
      <c r="D44" s="13" t="str">
        <f>SUBSTITUTE(SUBSTITUTE(SUBSTITUTE(SUBSTITUTE('Aqui Planilha'!D44, ".", ""), "-",""), ";", ""), ":", "")</f>
        <v/>
      </c>
      <c r="E44" s="9" t="str">
        <f>UPPER(ACENTO('Aqui Planilha'!E44))</f>
        <v/>
      </c>
      <c r="F44" s="9" t="str">
        <f>UPPER(ACENTO('Aqui Planilha'!F44))</f>
        <v/>
      </c>
      <c r="G44" s="9" t="str">
        <f>UPPER(ACENTO('Aqui Planilha'!G44))</f>
        <v/>
      </c>
      <c r="H44" s="14" t="str">
        <f>SUBSTITUTE(SUBSTITUTE(SUBSTITUTE(SUBSTITUTE(SUBSTITUTE('Aqui Planilha'!H44,"","0"),"Sn","0"),"SN","0"),"sn","0"),"sN","0")</f>
        <v/>
      </c>
      <c r="I44" s="9" t="str">
        <f>UPPER(ACENTO('Aqui Planilha'!I44))</f>
        <v/>
      </c>
      <c r="J44" s="9" t="str">
        <f>UPPER(ACENTO('Aqui Planilha'!J44))</f>
        <v/>
      </c>
      <c r="K44" s="9" t="str">
        <f>UPPER(ACENTO('Aqui Planilha'!K44))</f>
        <v/>
      </c>
      <c r="L44" s="15" t="e">
        <f>(REPT("0",11-LEN(FormulaOcult!L44))&amp;FormulaOcult!L44)</f>
        <v>#VALUE!</v>
      </c>
      <c r="M44" s="13" t="str">
        <f>SUBSTITUTE(SUBSTITUTE(SUBSTITUTE(SUBSTITUTE('Aqui Planilha'!M44, ".", ""), "-",""), ";", ""), ":", "")</f>
        <v/>
      </c>
      <c r="N44" s="12" t="e">
        <f>DATEVALUE(SUBSTITUTE(SUBSTITUTE(SUBSTITUTE(SUBSTITUTE(SUBSTITUTE('Aqui Planilha'!N44, ".", "/"), "-","/"), ";", "/"), ":", "/"), "/", "/"))</f>
        <v>#VALUE!</v>
      </c>
      <c r="O44" s="9" t="str">
        <f>UPPER(ACENTO('Aqui Planilha'!O44))</f>
        <v/>
      </c>
      <c r="P44" s="9" t="str">
        <f>UPPER(ACENTO('Aqui Planilha'!P44))</f>
        <v/>
      </c>
      <c r="Q44" s="11">
        <f>'Aqui Planilha'!Q44</f>
        <v>0</v>
      </c>
      <c r="R44" s="9" t="str">
        <f>UPPER(ACENTO('Aqui Planilha'!R44))</f>
        <v/>
      </c>
      <c r="S44" s="16" t="str">
        <f>SUBSTITUTE(SUBSTITUTE(SUBSTITUTE(SUBSTITUTE('Aqui Planilha'!S44, ".", ""), "-",""), ";", ""), ":", "")</f>
        <v/>
      </c>
      <c r="T44" s="16" t="str">
        <f>SUBSTITUTE(SUBSTITUTE(SUBSTITUTE(SUBSTITUTE('Aqui Planilha'!T44, ".", ""), "-",""), ";", ""), ":", "")</f>
        <v/>
      </c>
      <c r="U44" s="16" t="str">
        <f>SUBSTITUTE(SUBSTITUTE(SUBSTITUTE(SUBSTITUTE('Aqui Planilha'!U44, ".", ""), "-",""), ";", ""), ":", "")</f>
        <v/>
      </c>
      <c r="V44" s="16" t="str">
        <f>SUBSTITUTE(SUBSTITUTE(SUBSTITUTE(SUBSTITUTE('Aqui Planilha'!V44, ".", ""), "-",""), ";", ""), ":", "")</f>
        <v/>
      </c>
      <c r="W44" s="11" t="str">
        <f>SUBSTITUTE(SUBSTITUTE(SUBSTITUTE(SUBSTITUTE('Aqui Planilha'!W44, ".", ""), "-",""), ";", ""), ":", "")</f>
        <v/>
      </c>
    </row>
    <row r="45" spans="1:23" x14ac:dyDescent="0.25">
      <c r="A45" s="39" t="str">
        <f>UPPER(ACENTO('Aqui Planilha'!A45))</f>
        <v/>
      </c>
      <c r="B45" s="12" t="e">
        <f>DATEVALUE(SUBSTITUTE(SUBSTITUTE(SUBSTITUTE(SUBSTITUTE('Aqui Planilha'!B45, ".", "/"), "-","/"), ";", "/"), ":", "/"))</f>
        <v>#VALUE!</v>
      </c>
      <c r="C45" s="9" t="str">
        <f>UPPER('Aqui Planilha'!C45)</f>
        <v/>
      </c>
      <c r="D45" s="13" t="str">
        <f>SUBSTITUTE(SUBSTITUTE(SUBSTITUTE(SUBSTITUTE('Aqui Planilha'!D45, ".", ""), "-",""), ";", ""), ":", "")</f>
        <v/>
      </c>
      <c r="E45" s="9" t="str">
        <f>UPPER(ACENTO('Aqui Planilha'!E45))</f>
        <v/>
      </c>
      <c r="F45" s="9" t="str">
        <f>UPPER(ACENTO('Aqui Planilha'!F45))</f>
        <v/>
      </c>
      <c r="G45" s="9" t="str">
        <f>UPPER(ACENTO('Aqui Planilha'!G45))</f>
        <v/>
      </c>
      <c r="H45" s="14" t="str">
        <f>SUBSTITUTE(SUBSTITUTE(SUBSTITUTE(SUBSTITUTE(SUBSTITUTE('Aqui Planilha'!H45,"","0"),"Sn","0"),"SN","0"),"sn","0"),"sN","0")</f>
        <v/>
      </c>
      <c r="I45" s="9" t="str">
        <f>UPPER(ACENTO('Aqui Planilha'!I45))</f>
        <v/>
      </c>
      <c r="J45" s="9" t="str">
        <f>UPPER(ACENTO('Aqui Planilha'!J45))</f>
        <v/>
      </c>
      <c r="K45" s="9" t="str">
        <f>UPPER(ACENTO('Aqui Planilha'!K45))</f>
        <v/>
      </c>
      <c r="L45" s="15" t="e">
        <f>(REPT("0",11-LEN(FormulaOcult!L45))&amp;FormulaOcult!L45)</f>
        <v>#VALUE!</v>
      </c>
      <c r="M45" s="13" t="str">
        <f>SUBSTITUTE(SUBSTITUTE(SUBSTITUTE(SUBSTITUTE('Aqui Planilha'!M45, ".", ""), "-",""), ";", ""), ":", "")</f>
        <v/>
      </c>
      <c r="N45" s="12" t="e">
        <f>DATEVALUE(SUBSTITUTE(SUBSTITUTE(SUBSTITUTE(SUBSTITUTE(SUBSTITUTE('Aqui Planilha'!N45, ".", "/"), "-","/"), ";", "/"), ":", "/"), "/", "/"))</f>
        <v>#VALUE!</v>
      </c>
      <c r="O45" s="9" t="str">
        <f>UPPER(ACENTO('Aqui Planilha'!O45))</f>
        <v/>
      </c>
      <c r="P45" s="9" t="str">
        <f>UPPER(ACENTO('Aqui Planilha'!P45))</f>
        <v/>
      </c>
      <c r="Q45" s="11">
        <f>'Aqui Planilha'!Q45</f>
        <v>0</v>
      </c>
      <c r="R45" s="9" t="str">
        <f>UPPER(ACENTO('Aqui Planilha'!R45))</f>
        <v/>
      </c>
      <c r="S45" s="16" t="str">
        <f>SUBSTITUTE(SUBSTITUTE(SUBSTITUTE(SUBSTITUTE('Aqui Planilha'!S45, ".", ""), "-",""), ";", ""), ":", "")</f>
        <v/>
      </c>
      <c r="T45" s="16" t="str">
        <f>SUBSTITUTE(SUBSTITUTE(SUBSTITUTE(SUBSTITUTE('Aqui Planilha'!T45, ".", ""), "-",""), ";", ""), ":", "")</f>
        <v/>
      </c>
      <c r="U45" s="16" t="str">
        <f>SUBSTITUTE(SUBSTITUTE(SUBSTITUTE(SUBSTITUTE('Aqui Planilha'!U45, ".", ""), "-",""), ";", ""), ":", "")</f>
        <v/>
      </c>
      <c r="V45" s="16" t="str">
        <f>SUBSTITUTE(SUBSTITUTE(SUBSTITUTE(SUBSTITUTE('Aqui Planilha'!V45, ".", ""), "-",""), ";", ""), ":", "")</f>
        <v/>
      </c>
      <c r="W45" s="11" t="str">
        <f>SUBSTITUTE(SUBSTITUTE(SUBSTITUTE(SUBSTITUTE('Aqui Planilha'!W45, ".", ""), "-",""), ";", ""), ":", "")</f>
        <v/>
      </c>
    </row>
    <row r="46" spans="1:23" x14ac:dyDescent="0.25">
      <c r="A46" s="39" t="str">
        <f>UPPER(ACENTO('Aqui Planilha'!A46))</f>
        <v/>
      </c>
      <c r="B46" s="12" t="e">
        <f>DATEVALUE(SUBSTITUTE(SUBSTITUTE(SUBSTITUTE(SUBSTITUTE('Aqui Planilha'!B46, ".", "/"), "-","/"), ";", "/"), ":", "/"))</f>
        <v>#VALUE!</v>
      </c>
      <c r="C46" s="9" t="str">
        <f>UPPER('Aqui Planilha'!C46)</f>
        <v/>
      </c>
      <c r="D46" s="13" t="str">
        <f>SUBSTITUTE(SUBSTITUTE(SUBSTITUTE(SUBSTITUTE('Aqui Planilha'!D46, ".", ""), "-",""), ";", ""), ":", "")</f>
        <v/>
      </c>
      <c r="E46" s="9" t="str">
        <f>UPPER(ACENTO('Aqui Planilha'!E46))</f>
        <v/>
      </c>
      <c r="F46" s="9" t="str">
        <f>UPPER(ACENTO('Aqui Planilha'!F46))</f>
        <v/>
      </c>
      <c r="G46" s="9" t="str">
        <f>UPPER(ACENTO('Aqui Planilha'!G46))</f>
        <v/>
      </c>
      <c r="H46" s="14" t="str">
        <f>SUBSTITUTE(SUBSTITUTE(SUBSTITUTE(SUBSTITUTE(SUBSTITUTE('Aqui Planilha'!H46,"","0"),"Sn","0"),"SN","0"),"sn","0"),"sN","0")</f>
        <v/>
      </c>
      <c r="I46" s="9" t="str">
        <f>UPPER(ACENTO('Aqui Planilha'!I46))</f>
        <v/>
      </c>
      <c r="J46" s="9" t="str">
        <f>UPPER(ACENTO('Aqui Planilha'!J46))</f>
        <v/>
      </c>
      <c r="K46" s="9" t="str">
        <f>UPPER(ACENTO('Aqui Planilha'!K46))</f>
        <v/>
      </c>
      <c r="L46" s="15" t="e">
        <f>(REPT("0",11-LEN(FormulaOcult!L46))&amp;FormulaOcult!L46)</f>
        <v>#VALUE!</v>
      </c>
      <c r="M46" s="13" t="str">
        <f>SUBSTITUTE(SUBSTITUTE(SUBSTITUTE(SUBSTITUTE('Aqui Planilha'!M46, ".", ""), "-",""), ";", ""), ":", "")</f>
        <v/>
      </c>
      <c r="N46" s="12" t="e">
        <f>DATEVALUE(SUBSTITUTE(SUBSTITUTE(SUBSTITUTE(SUBSTITUTE(SUBSTITUTE('Aqui Planilha'!N46, ".", "/"), "-","/"), ";", "/"), ":", "/"), "/", "/"))</f>
        <v>#VALUE!</v>
      </c>
      <c r="O46" s="9" t="str">
        <f>UPPER(ACENTO('Aqui Planilha'!O46))</f>
        <v/>
      </c>
      <c r="P46" s="9" t="str">
        <f>UPPER(ACENTO('Aqui Planilha'!P46))</f>
        <v/>
      </c>
      <c r="Q46" s="11">
        <f>'Aqui Planilha'!Q46</f>
        <v>0</v>
      </c>
      <c r="R46" s="9" t="str">
        <f>UPPER(ACENTO('Aqui Planilha'!R46))</f>
        <v/>
      </c>
      <c r="S46" s="16" t="str">
        <f>SUBSTITUTE(SUBSTITUTE(SUBSTITUTE(SUBSTITUTE('Aqui Planilha'!S46, ".", ""), "-",""), ";", ""), ":", "")</f>
        <v/>
      </c>
      <c r="T46" s="16" t="str">
        <f>SUBSTITUTE(SUBSTITUTE(SUBSTITUTE(SUBSTITUTE('Aqui Planilha'!T46, ".", ""), "-",""), ";", ""), ":", "")</f>
        <v/>
      </c>
      <c r="U46" s="16" t="str">
        <f>SUBSTITUTE(SUBSTITUTE(SUBSTITUTE(SUBSTITUTE('Aqui Planilha'!U46, ".", ""), "-",""), ";", ""), ":", "")</f>
        <v/>
      </c>
      <c r="V46" s="16" t="str">
        <f>SUBSTITUTE(SUBSTITUTE(SUBSTITUTE(SUBSTITUTE('Aqui Planilha'!V46, ".", ""), "-",""), ";", ""), ":", "")</f>
        <v/>
      </c>
      <c r="W46" s="11" t="str">
        <f>SUBSTITUTE(SUBSTITUTE(SUBSTITUTE(SUBSTITUTE('Aqui Planilha'!W46, ".", ""), "-",""), ";", ""), ":", "")</f>
        <v/>
      </c>
    </row>
    <row r="47" spans="1:23" x14ac:dyDescent="0.25">
      <c r="A47" s="39" t="str">
        <f>UPPER(ACENTO('Aqui Planilha'!A47))</f>
        <v/>
      </c>
      <c r="B47" s="12" t="e">
        <f>DATEVALUE(SUBSTITUTE(SUBSTITUTE(SUBSTITUTE(SUBSTITUTE('Aqui Planilha'!B47, ".", "/"), "-","/"), ";", "/"), ":", "/"))</f>
        <v>#VALUE!</v>
      </c>
      <c r="C47" s="9" t="str">
        <f>UPPER('Aqui Planilha'!C47)</f>
        <v/>
      </c>
      <c r="D47" s="13" t="str">
        <f>SUBSTITUTE(SUBSTITUTE(SUBSTITUTE(SUBSTITUTE('Aqui Planilha'!D47, ".", ""), "-",""), ";", ""), ":", "")</f>
        <v/>
      </c>
      <c r="E47" s="9" t="str">
        <f>UPPER(ACENTO('Aqui Planilha'!E47))</f>
        <v/>
      </c>
      <c r="F47" s="9" t="str">
        <f>UPPER(ACENTO('Aqui Planilha'!F47))</f>
        <v/>
      </c>
      <c r="G47" s="9" t="str">
        <f>UPPER(ACENTO('Aqui Planilha'!G47))</f>
        <v/>
      </c>
      <c r="H47" s="14" t="str">
        <f>SUBSTITUTE(SUBSTITUTE(SUBSTITUTE(SUBSTITUTE(SUBSTITUTE('Aqui Planilha'!H47,"","0"),"Sn","0"),"SN","0"),"sn","0"),"sN","0")</f>
        <v/>
      </c>
      <c r="I47" s="9" t="str">
        <f>UPPER(ACENTO('Aqui Planilha'!I47))</f>
        <v/>
      </c>
      <c r="J47" s="9" t="str">
        <f>UPPER(ACENTO('Aqui Planilha'!J47))</f>
        <v/>
      </c>
      <c r="K47" s="9" t="str">
        <f>UPPER(ACENTO('Aqui Planilha'!K47))</f>
        <v/>
      </c>
      <c r="L47" s="15" t="e">
        <f>(REPT("0",11-LEN(FormulaOcult!L47))&amp;FormulaOcult!L47)</f>
        <v>#VALUE!</v>
      </c>
      <c r="M47" s="13" t="str">
        <f>SUBSTITUTE(SUBSTITUTE(SUBSTITUTE(SUBSTITUTE('Aqui Planilha'!M47, ".", ""), "-",""), ";", ""), ":", "")</f>
        <v/>
      </c>
      <c r="N47" s="12" t="e">
        <f>DATEVALUE(SUBSTITUTE(SUBSTITUTE(SUBSTITUTE(SUBSTITUTE(SUBSTITUTE('Aqui Planilha'!N47, ".", "/"), "-","/"), ";", "/"), ":", "/"), "/", "/"))</f>
        <v>#VALUE!</v>
      </c>
      <c r="O47" s="9" t="str">
        <f>UPPER(ACENTO('Aqui Planilha'!O47))</f>
        <v/>
      </c>
      <c r="P47" s="9" t="str">
        <f>UPPER(ACENTO('Aqui Planilha'!P47))</f>
        <v/>
      </c>
      <c r="Q47" s="11">
        <f>'Aqui Planilha'!Q47</f>
        <v>0</v>
      </c>
      <c r="R47" s="9" t="str">
        <f>UPPER(ACENTO('Aqui Planilha'!R47))</f>
        <v/>
      </c>
      <c r="S47" s="16" t="str">
        <f>SUBSTITUTE(SUBSTITUTE(SUBSTITUTE(SUBSTITUTE('Aqui Planilha'!S47, ".", ""), "-",""), ";", ""), ":", "")</f>
        <v/>
      </c>
      <c r="T47" s="16" t="str">
        <f>SUBSTITUTE(SUBSTITUTE(SUBSTITUTE(SUBSTITUTE('Aqui Planilha'!T47, ".", ""), "-",""), ";", ""), ":", "")</f>
        <v/>
      </c>
      <c r="U47" s="16" t="str">
        <f>SUBSTITUTE(SUBSTITUTE(SUBSTITUTE(SUBSTITUTE('Aqui Planilha'!U47, ".", ""), "-",""), ";", ""), ":", "")</f>
        <v/>
      </c>
      <c r="V47" s="16" t="str">
        <f>SUBSTITUTE(SUBSTITUTE(SUBSTITUTE(SUBSTITUTE('Aqui Planilha'!V47, ".", ""), "-",""), ";", ""), ":", "")</f>
        <v/>
      </c>
      <c r="W47" s="11" t="str">
        <f>SUBSTITUTE(SUBSTITUTE(SUBSTITUTE(SUBSTITUTE('Aqui Planilha'!W47, ".", ""), "-",""), ";", ""), ":", "")</f>
        <v/>
      </c>
    </row>
    <row r="48" spans="1:23" x14ac:dyDescent="0.25">
      <c r="A48" s="39" t="str">
        <f>UPPER(ACENTO('Aqui Planilha'!A48))</f>
        <v/>
      </c>
      <c r="B48" s="12" t="e">
        <f>DATEVALUE(SUBSTITUTE(SUBSTITUTE(SUBSTITUTE(SUBSTITUTE('Aqui Planilha'!B48, ".", "/"), "-","/"), ";", "/"), ":", "/"))</f>
        <v>#VALUE!</v>
      </c>
      <c r="C48" s="9" t="str">
        <f>UPPER('Aqui Planilha'!C48)</f>
        <v/>
      </c>
      <c r="D48" s="13" t="str">
        <f>SUBSTITUTE(SUBSTITUTE(SUBSTITUTE(SUBSTITUTE('Aqui Planilha'!D48, ".", ""), "-",""), ";", ""), ":", "")</f>
        <v/>
      </c>
      <c r="E48" s="9" t="str">
        <f>UPPER(ACENTO('Aqui Planilha'!E48))</f>
        <v/>
      </c>
      <c r="F48" s="9" t="str">
        <f>UPPER(ACENTO('Aqui Planilha'!F48))</f>
        <v/>
      </c>
      <c r="G48" s="9" t="str">
        <f>UPPER(ACENTO('Aqui Planilha'!G48))</f>
        <v/>
      </c>
      <c r="H48" s="14" t="str">
        <f>SUBSTITUTE(SUBSTITUTE(SUBSTITUTE(SUBSTITUTE(SUBSTITUTE('Aqui Planilha'!H48,"","0"),"Sn","0"),"SN","0"),"sn","0"),"sN","0")</f>
        <v/>
      </c>
      <c r="I48" s="9" t="str">
        <f>UPPER(ACENTO('Aqui Planilha'!I48))</f>
        <v/>
      </c>
      <c r="J48" s="9" t="str">
        <f>UPPER(ACENTO('Aqui Planilha'!J48))</f>
        <v/>
      </c>
      <c r="K48" s="9" t="str">
        <f>UPPER(ACENTO('Aqui Planilha'!K48))</f>
        <v/>
      </c>
      <c r="L48" s="15" t="e">
        <f>(REPT("0",11-LEN(FormulaOcult!L48))&amp;FormulaOcult!L48)</f>
        <v>#VALUE!</v>
      </c>
      <c r="M48" s="13" t="str">
        <f>SUBSTITUTE(SUBSTITUTE(SUBSTITUTE(SUBSTITUTE('Aqui Planilha'!M48, ".", ""), "-",""), ";", ""), ":", "")</f>
        <v/>
      </c>
      <c r="N48" s="12" t="e">
        <f>DATEVALUE(SUBSTITUTE(SUBSTITUTE(SUBSTITUTE(SUBSTITUTE(SUBSTITUTE('Aqui Planilha'!N48, ".", "/"), "-","/"), ";", "/"), ":", "/"), "/", "/"))</f>
        <v>#VALUE!</v>
      </c>
      <c r="O48" s="9" t="str">
        <f>UPPER(ACENTO('Aqui Planilha'!O48))</f>
        <v/>
      </c>
      <c r="P48" s="9" t="str">
        <f>UPPER(ACENTO('Aqui Planilha'!P48))</f>
        <v/>
      </c>
      <c r="Q48" s="11">
        <f>'Aqui Planilha'!Q48</f>
        <v>0</v>
      </c>
      <c r="R48" s="9" t="str">
        <f>UPPER(ACENTO('Aqui Planilha'!R48))</f>
        <v/>
      </c>
      <c r="S48" s="16" t="str">
        <f>SUBSTITUTE(SUBSTITUTE(SUBSTITUTE(SUBSTITUTE('Aqui Planilha'!S48, ".", ""), "-",""), ";", ""), ":", "")</f>
        <v/>
      </c>
      <c r="T48" s="16" t="str">
        <f>SUBSTITUTE(SUBSTITUTE(SUBSTITUTE(SUBSTITUTE('Aqui Planilha'!T48, ".", ""), "-",""), ";", ""), ":", "")</f>
        <v/>
      </c>
      <c r="U48" s="16" t="str">
        <f>SUBSTITUTE(SUBSTITUTE(SUBSTITUTE(SUBSTITUTE('Aqui Planilha'!U48, ".", ""), "-",""), ";", ""), ":", "")</f>
        <v/>
      </c>
      <c r="V48" s="16" t="str">
        <f>SUBSTITUTE(SUBSTITUTE(SUBSTITUTE(SUBSTITUTE('Aqui Planilha'!V48, ".", ""), "-",""), ";", ""), ":", "")</f>
        <v/>
      </c>
      <c r="W48" s="11" t="str">
        <f>SUBSTITUTE(SUBSTITUTE(SUBSTITUTE(SUBSTITUTE('Aqui Planilha'!W48, ".", ""), "-",""), ";", ""), ":", "")</f>
        <v/>
      </c>
    </row>
    <row r="49" spans="1:23" x14ac:dyDescent="0.25">
      <c r="A49" s="39" t="str">
        <f>UPPER(ACENTO('Aqui Planilha'!A49))</f>
        <v/>
      </c>
      <c r="B49" s="12" t="e">
        <f>DATEVALUE(SUBSTITUTE(SUBSTITUTE(SUBSTITUTE(SUBSTITUTE('Aqui Planilha'!B49, ".", "/"), "-","/"), ";", "/"), ":", "/"))</f>
        <v>#VALUE!</v>
      </c>
      <c r="C49" s="9" t="str">
        <f>UPPER('Aqui Planilha'!C49)</f>
        <v/>
      </c>
      <c r="D49" s="13" t="str">
        <f>SUBSTITUTE(SUBSTITUTE(SUBSTITUTE(SUBSTITUTE('Aqui Planilha'!D49, ".", ""), "-",""), ";", ""), ":", "")</f>
        <v/>
      </c>
      <c r="E49" s="9" t="str">
        <f>UPPER(ACENTO('Aqui Planilha'!E49))</f>
        <v/>
      </c>
      <c r="F49" s="9" t="str">
        <f>UPPER(ACENTO('Aqui Planilha'!F49))</f>
        <v/>
      </c>
      <c r="G49" s="9" t="str">
        <f>UPPER(ACENTO('Aqui Planilha'!G49))</f>
        <v/>
      </c>
      <c r="H49" s="14" t="str">
        <f>SUBSTITUTE(SUBSTITUTE(SUBSTITUTE(SUBSTITUTE(SUBSTITUTE('Aqui Planilha'!H49,"","0"),"Sn","0"),"SN","0"),"sn","0"),"sN","0")</f>
        <v/>
      </c>
      <c r="I49" s="9" t="str">
        <f>UPPER(ACENTO('Aqui Planilha'!I49))</f>
        <v/>
      </c>
      <c r="J49" s="9" t="str">
        <f>UPPER(ACENTO('Aqui Planilha'!J49))</f>
        <v/>
      </c>
      <c r="K49" s="9" t="str">
        <f>UPPER(ACENTO('Aqui Planilha'!K49))</f>
        <v/>
      </c>
      <c r="L49" s="15" t="e">
        <f>(REPT("0",11-LEN(FormulaOcult!L49))&amp;FormulaOcult!L49)</f>
        <v>#VALUE!</v>
      </c>
      <c r="M49" s="13" t="str">
        <f>SUBSTITUTE(SUBSTITUTE(SUBSTITUTE(SUBSTITUTE('Aqui Planilha'!M49, ".", ""), "-",""), ";", ""), ":", "")</f>
        <v/>
      </c>
      <c r="N49" s="12" t="e">
        <f>DATEVALUE(SUBSTITUTE(SUBSTITUTE(SUBSTITUTE(SUBSTITUTE(SUBSTITUTE('Aqui Planilha'!N49, ".", "/"), "-","/"), ";", "/"), ":", "/"), "/", "/"))</f>
        <v>#VALUE!</v>
      </c>
      <c r="O49" s="9" t="str">
        <f>UPPER(ACENTO('Aqui Planilha'!O49))</f>
        <v/>
      </c>
      <c r="P49" s="9" t="str">
        <f>UPPER(ACENTO('Aqui Planilha'!P49))</f>
        <v/>
      </c>
      <c r="Q49" s="11">
        <f>'Aqui Planilha'!Q49</f>
        <v>0</v>
      </c>
      <c r="R49" s="9" t="str">
        <f>UPPER(ACENTO('Aqui Planilha'!R49))</f>
        <v/>
      </c>
      <c r="S49" s="16" t="str">
        <f>SUBSTITUTE(SUBSTITUTE(SUBSTITUTE(SUBSTITUTE('Aqui Planilha'!S49, ".", ""), "-",""), ";", ""), ":", "")</f>
        <v/>
      </c>
      <c r="T49" s="16" t="str">
        <f>SUBSTITUTE(SUBSTITUTE(SUBSTITUTE(SUBSTITUTE('Aqui Planilha'!T49, ".", ""), "-",""), ";", ""), ":", "")</f>
        <v/>
      </c>
      <c r="U49" s="16" t="str">
        <f>SUBSTITUTE(SUBSTITUTE(SUBSTITUTE(SUBSTITUTE('Aqui Planilha'!U49, ".", ""), "-",""), ";", ""), ":", "")</f>
        <v/>
      </c>
      <c r="V49" s="16" t="str">
        <f>SUBSTITUTE(SUBSTITUTE(SUBSTITUTE(SUBSTITUTE('Aqui Planilha'!V49, ".", ""), "-",""), ";", ""), ":", "")</f>
        <v/>
      </c>
      <c r="W49" s="11" t="str">
        <f>SUBSTITUTE(SUBSTITUTE(SUBSTITUTE(SUBSTITUTE('Aqui Planilha'!W49, ".", ""), "-",""), ";", ""), ":", "")</f>
        <v/>
      </c>
    </row>
    <row r="50" spans="1:23" s="18" customFormat="1" x14ac:dyDescent="0.25">
      <c r="A50" s="40" t="str">
        <f>UPPER(ACENTO('Aqui Planilha'!A50))</f>
        <v/>
      </c>
      <c r="B50" s="17" t="e">
        <f>DATEVALUE(SUBSTITUTE(SUBSTITUTE(SUBSTITUTE(SUBSTITUTE('Aqui Planilha'!B50, ".", "/"), "-","/"), ";", "/"), ":", "/"))</f>
        <v>#VALUE!</v>
      </c>
      <c r="C50" s="18" t="str">
        <f>UPPER('Aqui Planilha'!C50)</f>
        <v/>
      </c>
      <c r="D50" s="19" t="str">
        <f>SUBSTITUTE(SUBSTITUTE(SUBSTITUTE(SUBSTITUTE('Aqui Planilha'!D50, ".", ""), "-",""), ";", ""), ":", "")</f>
        <v/>
      </c>
      <c r="E50" s="18" t="str">
        <f>UPPER(ACENTO('Aqui Planilha'!E50))</f>
        <v/>
      </c>
      <c r="F50" s="18" t="str">
        <f>UPPER(ACENTO('Aqui Planilha'!F50))</f>
        <v/>
      </c>
      <c r="G50" s="18" t="str">
        <f>UPPER(ACENTO('Aqui Planilha'!G50))</f>
        <v/>
      </c>
      <c r="H50" s="20" t="str">
        <f>SUBSTITUTE(SUBSTITUTE(SUBSTITUTE(SUBSTITUTE(SUBSTITUTE('Aqui Planilha'!H50,"","0"),"Sn","0"),"SN","0"),"sn","0"),"sN","0")</f>
        <v/>
      </c>
      <c r="I50" s="18" t="str">
        <f>UPPER(ACENTO('Aqui Planilha'!I50))</f>
        <v/>
      </c>
      <c r="J50" s="18" t="str">
        <f>UPPER(ACENTO('Aqui Planilha'!J50))</f>
        <v/>
      </c>
      <c r="K50" s="18" t="str">
        <f>UPPER(ACENTO('Aqui Planilha'!K50))</f>
        <v/>
      </c>
      <c r="L50" s="21" t="e">
        <f>(REPT("0",11-LEN(FormulaOcult!L50))&amp;FormulaOcult!L50)</f>
        <v>#VALUE!</v>
      </c>
      <c r="M50" s="19" t="str">
        <f>SUBSTITUTE(SUBSTITUTE(SUBSTITUTE(SUBSTITUTE('Aqui Planilha'!M50, ".", ""), "-",""), ";", ""), ":", "")</f>
        <v/>
      </c>
      <c r="N50" s="12" t="e">
        <f>DATEVALUE(SUBSTITUTE(SUBSTITUTE(SUBSTITUTE(SUBSTITUTE(SUBSTITUTE('Aqui Planilha'!N50, ".", "/"), "-","/"), ";", "/"), ":", "/"), "/", "/"))</f>
        <v>#VALUE!</v>
      </c>
      <c r="O50" s="18" t="str">
        <f>UPPER(ACENTO('Aqui Planilha'!O50))</f>
        <v/>
      </c>
      <c r="P50" s="18" t="str">
        <f>UPPER(ACENTO('Aqui Planilha'!P50))</f>
        <v/>
      </c>
      <c r="Q50" s="23">
        <f>'Aqui Planilha'!Q50</f>
        <v>0</v>
      </c>
      <c r="R50" s="18" t="str">
        <f>UPPER(ACENTO('Aqui Planilha'!R50))</f>
        <v/>
      </c>
      <c r="S50" s="22" t="str">
        <f>SUBSTITUTE(SUBSTITUTE(SUBSTITUTE(SUBSTITUTE('Aqui Planilha'!S50, ".", ""), "-",""), ";", ""), ":", "")</f>
        <v/>
      </c>
      <c r="T50" s="22" t="str">
        <f>SUBSTITUTE(SUBSTITUTE(SUBSTITUTE(SUBSTITUTE('Aqui Planilha'!T50, ".", ""), "-",""), ";", ""), ":", "")</f>
        <v/>
      </c>
      <c r="U50" s="22" t="str">
        <f>SUBSTITUTE(SUBSTITUTE(SUBSTITUTE(SUBSTITUTE('Aqui Planilha'!U50, ".", ""), "-",""), ";", ""), ":", "")</f>
        <v/>
      </c>
      <c r="V50" s="22" t="str">
        <f>SUBSTITUTE(SUBSTITUTE(SUBSTITUTE(SUBSTITUTE('Aqui Planilha'!V50, ".", ""), "-",""), ";", ""), ":", "")</f>
        <v/>
      </c>
      <c r="W50" s="23" t="str">
        <f>SUBSTITUTE(SUBSTITUTE(SUBSTITUTE(SUBSTITUTE('Aqui Planilha'!W50, ".", ""), "-",""), ";", ""), ":", 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D33"/>
  <sheetViews>
    <sheetView tabSelected="1" zoomScaleNormal="100" workbookViewId="0">
      <selection activeCell="B5" sqref="B5:C5"/>
    </sheetView>
  </sheetViews>
  <sheetFormatPr defaultRowHeight="18.75" x14ac:dyDescent="0.3"/>
  <cols>
    <col min="1" max="1" width="4.375" customWidth="1"/>
    <col min="2" max="2" width="12.125" style="1" customWidth="1"/>
    <col min="3" max="3" width="9" style="1" customWidth="1"/>
    <col min="4" max="4" width="54" style="1" customWidth="1"/>
  </cols>
  <sheetData>
    <row r="1" spans="2:4" ht="66" customHeight="1" x14ac:dyDescent="0.3">
      <c r="B1"/>
      <c r="C1" s="44"/>
      <c r="D1" s="44"/>
    </row>
    <row r="2" spans="2:4" ht="27" customHeight="1" thickBot="1" x14ac:dyDescent="0.3">
      <c r="B2" s="45" t="s">
        <v>28</v>
      </c>
      <c r="C2" s="45"/>
      <c r="D2" s="45"/>
    </row>
    <row r="3" spans="2:4" ht="16.5" customHeight="1" thickBot="1" x14ac:dyDescent="0.3">
      <c r="B3" s="69" t="s">
        <v>43</v>
      </c>
      <c r="C3" s="68" t="str">
        <f>'Planilha SIAT'!A2</f>
        <v>ZWT</v>
      </c>
      <c r="D3" s="58">
        <f ca="1">TODAY()</f>
        <v>44945</v>
      </c>
    </row>
    <row r="4" spans="2:4" ht="19.5" thickBot="1" x14ac:dyDescent="0.35">
      <c r="B4" s="70" t="s">
        <v>29</v>
      </c>
      <c r="C4" s="71"/>
      <c r="D4" s="72" t="s">
        <v>30</v>
      </c>
    </row>
    <row r="5" spans="2:4" x14ac:dyDescent="0.3">
      <c r="B5" s="59"/>
      <c r="C5" s="55"/>
      <c r="D5" s="60"/>
    </row>
    <row r="6" spans="2:4" x14ac:dyDescent="0.3">
      <c r="B6" s="61"/>
      <c r="C6" s="56"/>
      <c r="D6" s="62"/>
    </row>
    <row r="7" spans="2:4" x14ac:dyDescent="0.3">
      <c r="B7" s="63"/>
      <c r="C7" s="57"/>
      <c r="D7" s="64"/>
    </row>
    <row r="8" spans="2:4" x14ac:dyDescent="0.3">
      <c r="B8" s="61"/>
      <c r="C8" s="56"/>
      <c r="D8" s="62"/>
    </row>
    <row r="9" spans="2:4" x14ac:dyDescent="0.3">
      <c r="B9" s="63"/>
      <c r="C9" s="57"/>
      <c r="D9" s="64"/>
    </row>
    <row r="10" spans="2:4" x14ac:dyDescent="0.3">
      <c r="B10" s="61"/>
      <c r="C10" s="56"/>
      <c r="D10" s="62"/>
    </row>
    <row r="11" spans="2:4" x14ac:dyDescent="0.3">
      <c r="B11" s="63"/>
      <c r="C11" s="57"/>
      <c r="D11" s="64"/>
    </row>
    <row r="12" spans="2:4" x14ac:dyDescent="0.3">
      <c r="B12" s="61"/>
      <c r="C12" s="56"/>
      <c r="D12" s="62"/>
    </row>
    <row r="13" spans="2:4" x14ac:dyDescent="0.3">
      <c r="B13" s="63"/>
      <c r="C13" s="57"/>
      <c r="D13" s="64"/>
    </row>
    <row r="14" spans="2:4" x14ac:dyDescent="0.3">
      <c r="B14" s="61"/>
      <c r="C14" s="56"/>
      <c r="D14" s="62"/>
    </row>
    <row r="15" spans="2:4" x14ac:dyDescent="0.3">
      <c r="B15" s="63"/>
      <c r="C15" s="57"/>
      <c r="D15" s="64"/>
    </row>
    <row r="16" spans="2:4" x14ac:dyDescent="0.3">
      <c r="B16" s="61"/>
      <c r="C16" s="56"/>
      <c r="D16" s="62"/>
    </row>
    <row r="17" spans="2:4" x14ac:dyDescent="0.3">
      <c r="B17" s="63"/>
      <c r="C17" s="57"/>
      <c r="D17" s="64"/>
    </row>
    <row r="18" spans="2:4" x14ac:dyDescent="0.3">
      <c r="B18" s="61"/>
      <c r="C18" s="56"/>
      <c r="D18" s="62"/>
    </row>
    <row r="19" spans="2:4" x14ac:dyDescent="0.3">
      <c r="B19" s="63"/>
      <c r="C19" s="57"/>
      <c r="D19" s="64"/>
    </row>
    <row r="20" spans="2:4" x14ac:dyDescent="0.3">
      <c r="B20" s="61"/>
      <c r="C20" s="56"/>
      <c r="D20" s="62"/>
    </row>
    <row r="21" spans="2:4" x14ac:dyDescent="0.3">
      <c r="B21" s="63"/>
      <c r="C21" s="57"/>
      <c r="D21" s="64"/>
    </row>
    <row r="22" spans="2:4" x14ac:dyDescent="0.3">
      <c r="B22" s="61"/>
      <c r="C22" s="56"/>
      <c r="D22" s="62"/>
    </row>
    <row r="23" spans="2:4" x14ac:dyDescent="0.3">
      <c r="B23" s="63"/>
      <c r="C23" s="57"/>
      <c r="D23" s="64"/>
    </row>
    <row r="24" spans="2:4" x14ac:dyDescent="0.3">
      <c r="B24" s="61"/>
      <c r="C24" s="56"/>
      <c r="D24" s="62"/>
    </row>
    <row r="25" spans="2:4" x14ac:dyDescent="0.3">
      <c r="B25" s="63"/>
      <c r="C25" s="57"/>
      <c r="D25" s="64"/>
    </row>
    <row r="26" spans="2:4" x14ac:dyDescent="0.3">
      <c r="B26" s="61"/>
      <c r="C26" s="56"/>
      <c r="D26" s="62"/>
    </row>
    <row r="27" spans="2:4" x14ac:dyDescent="0.3">
      <c r="B27" s="63"/>
      <c r="C27" s="57"/>
      <c r="D27" s="64"/>
    </row>
    <row r="28" spans="2:4" x14ac:dyDescent="0.3">
      <c r="B28" s="61"/>
      <c r="C28" s="56"/>
      <c r="D28" s="62"/>
    </row>
    <row r="29" spans="2:4" x14ac:dyDescent="0.3">
      <c r="B29" s="63"/>
      <c r="C29" s="57"/>
      <c r="D29" s="64"/>
    </row>
    <row r="30" spans="2:4" x14ac:dyDescent="0.3">
      <c r="B30" s="61"/>
      <c r="C30" s="56"/>
      <c r="D30" s="62"/>
    </row>
    <row r="31" spans="2:4" x14ac:dyDescent="0.3">
      <c r="B31" s="63"/>
      <c r="C31" s="57"/>
      <c r="D31" s="64"/>
    </row>
    <row r="32" spans="2:4" x14ac:dyDescent="0.3">
      <c r="B32" s="61"/>
      <c r="C32" s="56"/>
      <c r="D32" s="62"/>
    </row>
    <row r="33" spans="2:4" ht="19.5" thickBot="1" x14ac:dyDescent="0.35">
      <c r="B33" s="65"/>
      <c r="C33" s="66"/>
      <c r="D33" s="67"/>
    </row>
  </sheetData>
  <mergeCells count="32">
    <mergeCell ref="B32:C32"/>
    <mergeCell ref="B33:C33"/>
    <mergeCell ref="B2:D2"/>
    <mergeCell ref="B27:C27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17:C17"/>
    <mergeCell ref="B18:C18"/>
    <mergeCell ref="B19:C19"/>
    <mergeCell ref="B20:C20"/>
    <mergeCell ref="B21:C21"/>
    <mergeCell ref="B12:C12"/>
    <mergeCell ref="B13:C13"/>
    <mergeCell ref="B14:C14"/>
    <mergeCell ref="B15:C15"/>
    <mergeCell ref="B16:C16"/>
    <mergeCell ref="B7:C7"/>
    <mergeCell ref="B8:C8"/>
    <mergeCell ref="B9:C9"/>
    <mergeCell ref="B10:C10"/>
    <mergeCell ref="B11:C11"/>
    <mergeCell ref="C1:D1"/>
    <mergeCell ref="B4:C4"/>
    <mergeCell ref="B5:C5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Aqui Planilha</vt:lpstr>
      <vt:lpstr>FormulaOcult</vt:lpstr>
      <vt:lpstr>Planilha SIAT</vt:lpstr>
      <vt:lpstr>ListaContas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Bonatto</dc:creator>
  <cp:lastModifiedBy>JeanBonatto</cp:lastModifiedBy>
  <cp:lastPrinted>2023-01-20T01:37:43Z</cp:lastPrinted>
  <dcterms:created xsi:type="dcterms:W3CDTF">2023-01-17T16:54:14Z</dcterms:created>
  <dcterms:modified xsi:type="dcterms:W3CDTF">2023-01-20T01:41:00Z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2023-01-17T16:55:36Z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6434a98b-6c04-4eb2-abd0-9ba99eb4d12f</vt:lpwstr>
  </property>
  <property fmtid="{D5CDD505-2E9C-101B-9397-08002B2CF9AE}" pid="8" name="MSIP_Label_99deea41-824f-4c3c-afd5-7afdfc16eee8_ContentBits">
    <vt:lpwstr>2</vt:lpwstr>
  </property>
</Properties>
</file>